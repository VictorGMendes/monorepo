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mfinancial-my.sharepoint.com/personal/guilherme_martins_gmfinancial_com/Documents/Desktop/Seguros/Fleet/2026/052026/"/>
    </mc:Choice>
  </mc:AlternateContent>
  <xr:revisionPtr revIDLastSave="26" documentId="13_ncr:1_{463BE504-2FB7-48B8-B037-4C7FFD8B61F7}" xr6:coauthVersionLast="47" xr6:coauthVersionMax="47" xr10:uidLastSave="{28A8A726-D93D-4C13-B2D8-B05B77A86F82}"/>
  <bookViews>
    <workbookView xWindow="-108" yWindow="-108" windowWidth="23256" windowHeight="12456" tabRatio="596" xr2:uid="{00000000-000D-0000-FFFF-FFFF00000000}"/>
  </bookViews>
  <sheets>
    <sheet name="Inclusão" sheetId="5" r:id="rId1"/>
    <sheet name="Exclusão" sheetId="4" state="hidden" r:id="rId2"/>
    <sheet name="Apólice Endosso" sheetId="2" r:id="rId3"/>
  </sheets>
  <definedNames>
    <definedName name="_xlnm._FilterDatabase" localSheetId="2" hidden="1">'Apólice Endosso'!$A$5:$AZ$229</definedName>
    <definedName name="_xlnm._FilterDatabase" localSheetId="1" hidden="1">Exclusão!$A$2:$AQ$33</definedName>
    <definedName name="_xlnm._FilterDatabase" localSheetId="0" hidden="1">Inclusão!$A$2:$BA$279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4" i="5" l="1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3" i="5"/>
  <c r="AR124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37" i="5"/>
  <c r="AR138" i="5"/>
  <c r="AR139" i="5"/>
  <c r="AR140" i="5"/>
  <c r="AR141" i="5"/>
  <c r="AR142" i="5"/>
  <c r="AR143" i="5"/>
  <c r="AR144" i="5"/>
  <c r="AR145" i="5"/>
  <c r="AR146" i="5"/>
  <c r="AR147" i="5"/>
  <c r="AR148" i="5"/>
  <c r="AR149" i="5"/>
  <c r="AR150" i="5"/>
  <c r="AR151" i="5"/>
  <c r="AR152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83" i="5"/>
  <c r="AR184" i="5"/>
  <c r="AR185" i="5"/>
  <c r="AR186" i="5"/>
  <c r="AR187" i="5"/>
  <c r="AR188" i="5"/>
  <c r="AR189" i="5"/>
  <c r="AR190" i="5"/>
  <c r="AR191" i="5"/>
  <c r="AR192" i="5"/>
  <c r="AR193" i="5"/>
  <c r="AR19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S227" i="5" s="1"/>
  <c r="AR228" i="5"/>
  <c r="AS228" i="5" s="1"/>
  <c r="AR229" i="5"/>
  <c r="AS229" i="5" s="1"/>
  <c r="AR230" i="5"/>
  <c r="AR231" i="5"/>
  <c r="AR232" i="5"/>
  <c r="AR233" i="5"/>
  <c r="AR234" i="5"/>
  <c r="AR235" i="5"/>
  <c r="AS235" i="5" s="1"/>
  <c r="AR236" i="5"/>
  <c r="AS236" i="5" s="1"/>
  <c r="AR237" i="5"/>
  <c r="AS237" i="5" s="1"/>
  <c r="AR238" i="5"/>
  <c r="AS238" i="5" s="1"/>
  <c r="AR239" i="5"/>
  <c r="AS239" i="5" s="1"/>
  <c r="AR240" i="5"/>
  <c r="AR241" i="5"/>
  <c r="AS241" i="5" s="1"/>
  <c r="AR242" i="5"/>
  <c r="AS242" i="5" s="1"/>
  <c r="AR243" i="5"/>
  <c r="AS243" i="5" s="1"/>
  <c r="AR244" i="5"/>
  <c r="AR245" i="5"/>
  <c r="AR246" i="5"/>
  <c r="AR247" i="5"/>
  <c r="AR248" i="5"/>
  <c r="AR249" i="5"/>
  <c r="AS249" i="5" s="1"/>
  <c r="AR250" i="5"/>
  <c r="AS250" i="5" s="1"/>
  <c r="AR251" i="5"/>
  <c r="AS251" i="5" s="1"/>
  <c r="AR252" i="5"/>
  <c r="AR253" i="5"/>
  <c r="AR254" i="5"/>
  <c r="AR255" i="5"/>
  <c r="AS255" i="5" s="1"/>
  <c r="AR256" i="5"/>
  <c r="AS256" i="5" s="1"/>
  <c r="AR257" i="5"/>
  <c r="AS257" i="5" s="1"/>
  <c r="AR258" i="5"/>
  <c r="AR259" i="5"/>
  <c r="AR260" i="5"/>
  <c r="AR261" i="5"/>
  <c r="AR262" i="5"/>
  <c r="AR263" i="5"/>
  <c r="AR264" i="5"/>
  <c r="AR265" i="5"/>
  <c r="AR266" i="5"/>
  <c r="AR267" i="5"/>
  <c r="AR268" i="5"/>
  <c r="AR269" i="5"/>
  <c r="AS269" i="5" s="1"/>
  <c r="AR270" i="5"/>
  <c r="AS270" i="5" s="1"/>
  <c r="AR271" i="5"/>
  <c r="AS271" i="5" s="1"/>
  <c r="AR272" i="5"/>
  <c r="AS272" i="5" s="1"/>
  <c r="AR273" i="5"/>
  <c r="AS273" i="5" s="1"/>
  <c r="AR274" i="5"/>
  <c r="AS274" i="5" s="1"/>
  <c r="AR275" i="5"/>
  <c r="AS275" i="5" s="1"/>
  <c r="AR276" i="5"/>
  <c r="AR277" i="5"/>
  <c r="AR278" i="5"/>
  <c r="AR279" i="5"/>
  <c r="AS279" i="5" s="1"/>
  <c r="AR3" i="5"/>
  <c r="AX227" i="5"/>
  <c r="AX228" i="5"/>
  <c r="AX229" i="5"/>
  <c r="AX230" i="5"/>
  <c r="AX231" i="5"/>
  <c r="AX232" i="5"/>
  <c r="AX233" i="5"/>
  <c r="AX234" i="5"/>
  <c r="AX235" i="5"/>
  <c r="AX236" i="5"/>
  <c r="AX237" i="5"/>
  <c r="AX238" i="5"/>
  <c r="AX239" i="5"/>
  <c r="AX240" i="5"/>
  <c r="AX241" i="5"/>
  <c r="AX242" i="5"/>
  <c r="AX243" i="5"/>
  <c r="AX244" i="5"/>
  <c r="AX245" i="5"/>
  <c r="AX246" i="5"/>
  <c r="AX247" i="5"/>
  <c r="AX248" i="5"/>
  <c r="AX249" i="5"/>
  <c r="AX250" i="5"/>
  <c r="AX251" i="5"/>
  <c r="AX252" i="5"/>
  <c r="AX253" i="5"/>
  <c r="AX254" i="5"/>
  <c r="AX255" i="5"/>
  <c r="AX256" i="5"/>
  <c r="AX257" i="5"/>
  <c r="AX258" i="5"/>
  <c r="AX259" i="5"/>
  <c r="AX260" i="5"/>
  <c r="AX261" i="5"/>
  <c r="AX262" i="5"/>
  <c r="AX263" i="5"/>
  <c r="AX264" i="5"/>
  <c r="AX265" i="5"/>
  <c r="AX266" i="5"/>
  <c r="AX267" i="5"/>
  <c r="AX268" i="5"/>
  <c r="AX269" i="5"/>
  <c r="AX270" i="5"/>
  <c r="AX271" i="5"/>
  <c r="AX272" i="5"/>
  <c r="AX273" i="5"/>
  <c r="AX274" i="5"/>
  <c r="AX275" i="5"/>
  <c r="AX276" i="5"/>
  <c r="AX277" i="5"/>
  <c r="AX278" i="5"/>
  <c r="AX279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U256" i="5"/>
  <c r="AU257" i="5"/>
  <c r="AU258" i="5"/>
  <c r="AU259" i="5"/>
  <c r="AU260" i="5"/>
  <c r="AU261" i="5"/>
  <c r="AU262" i="5"/>
  <c r="AU263" i="5"/>
  <c r="AU264" i="5"/>
  <c r="AU265" i="5"/>
  <c r="AU266" i="5"/>
  <c r="AU267" i="5"/>
  <c r="AU268" i="5"/>
  <c r="AU269" i="5"/>
  <c r="AU270" i="5"/>
  <c r="AU271" i="5"/>
  <c r="AU272" i="5"/>
  <c r="AU273" i="5"/>
  <c r="AU274" i="5"/>
  <c r="AU275" i="5"/>
  <c r="AU276" i="5"/>
  <c r="AU277" i="5"/>
  <c r="AU278" i="5"/>
  <c r="AU279" i="5"/>
  <c r="AS230" i="5"/>
  <c r="AS231" i="5"/>
  <c r="AS232" i="5"/>
  <c r="AS233" i="5"/>
  <c r="AS234" i="5"/>
  <c r="AS240" i="5"/>
  <c r="AS244" i="5"/>
  <c r="AS245" i="5"/>
  <c r="AS246" i="5"/>
  <c r="AS247" i="5"/>
  <c r="AS248" i="5"/>
  <c r="AS252" i="5"/>
  <c r="AS253" i="5"/>
  <c r="AS254" i="5"/>
  <c r="AS258" i="5"/>
  <c r="AS259" i="5"/>
  <c r="AS260" i="5"/>
  <c r="AS261" i="5"/>
  <c r="AS262" i="5"/>
  <c r="AS263" i="5"/>
  <c r="AS264" i="5"/>
  <c r="AS265" i="5"/>
  <c r="AS266" i="5"/>
  <c r="AS267" i="5"/>
  <c r="AS268" i="5"/>
  <c r="AS276" i="5"/>
  <c r="AS277" i="5"/>
  <c r="AS278" i="5"/>
  <c r="A34" i="4"/>
  <c r="AU79" i="5" l="1"/>
  <c r="AV79" i="5"/>
  <c r="AW79" i="5"/>
  <c r="AX79" i="5"/>
  <c r="AU80" i="5"/>
  <c r="AV80" i="5"/>
  <c r="AW80" i="5"/>
  <c r="AX80" i="5"/>
  <c r="AU81" i="5"/>
  <c r="AV81" i="5"/>
  <c r="AW81" i="5"/>
  <c r="AX81" i="5"/>
  <c r="AU82" i="5"/>
  <c r="AV82" i="5"/>
  <c r="AW82" i="5"/>
  <c r="AX82" i="5"/>
  <c r="AU83" i="5"/>
  <c r="AV83" i="5"/>
  <c r="AW83" i="5"/>
  <c r="AX83" i="5"/>
  <c r="AU84" i="5"/>
  <c r="AV84" i="5"/>
  <c r="AW84" i="5"/>
  <c r="AX84" i="5"/>
  <c r="AU85" i="5"/>
  <c r="AV85" i="5"/>
  <c r="AW85" i="5"/>
  <c r="AX85" i="5"/>
  <c r="AU86" i="5"/>
  <c r="AV86" i="5"/>
  <c r="AW86" i="5"/>
  <c r="AX86" i="5"/>
  <c r="AU87" i="5"/>
  <c r="AV87" i="5"/>
  <c r="AW87" i="5"/>
  <c r="AX87" i="5"/>
  <c r="AU88" i="5"/>
  <c r="AV88" i="5"/>
  <c r="AW88" i="5"/>
  <c r="AX88" i="5"/>
  <c r="AU89" i="5"/>
  <c r="AV89" i="5"/>
  <c r="AW89" i="5"/>
  <c r="AX89" i="5"/>
  <c r="AU90" i="5"/>
  <c r="AV90" i="5"/>
  <c r="AW90" i="5"/>
  <c r="AX90" i="5"/>
  <c r="AU91" i="5"/>
  <c r="AV91" i="5"/>
  <c r="AW91" i="5"/>
  <c r="AX91" i="5"/>
  <c r="AU92" i="5"/>
  <c r="AV92" i="5"/>
  <c r="AW92" i="5"/>
  <c r="AX92" i="5"/>
  <c r="AU93" i="5"/>
  <c r="AV93" i="5"/>
  <c r="AW93" i="5"/>
  <c r="AX93" i="5"/>
  <c r="AU94" i="5"/>
  <c r="AV94" i="5"/>
  <c r="AW94" i="5"/>
  <c r="AX94" i="5"/>
  <c r="AU95" i="5"/>
  <c r="AV95" i="5"/>
  <c r="AW95" i="5"/>
  <c r="AX95" i="5"/>
  <c r="AU96" i="5"/>
  <c r="AV96" i="5"/>
  <c r="AW96" i="5"/>
  <c r="AX96" i="5"/>
  <c r="AU97" i="5"/>
  <c r="AV97" i="5"/>
  <c r="AW97" i="5"/>
  <c r="AX97" i="5"/>
  <c r="AU98" i="5"/>
  <c r="AV98" i="5"/>
  <c r="AW98" i="5"/>
  <c r="AX98" i="5"/>
  <c r="AU99" i="5"/>
  <c r="AV99" i="5"/>
  <c r="AW99" i="5"/>
  <c r="AX99" i="5"/>
  <c r="AU100" i="5"/>
  <c r="AV100" i="5"/>
  <c r="AW100" i="5"/>
  <c r="AX100" i="5"/>
  <c r="AU101" i="5"/>
  <c r="AV101" i="5"/>
  <c r="AW101" i="5"/>
  <c r="AX101" i="5"/>
  <c r="AU102" i="5"/>
  <c r="AV102" i="5"/>
  <c r="AW102" i="5"/>
  <c r="AX102" i="5"/>
  <c r="AU103" i="5"/>
  <c r="AV103" i="5"/>
  <c r="AW103" i="5"/>
  <c r="AX103" i="5"/>
  <c r="AU104" i="5"/>
  <c r="AV104" i="5"/>
  <c r="AW104" i="5"/>
  <c r="AX104" i="5"/>
  <c r="AU105" i="5"/>
  <c r="AV105" i="5"/>
  <c r="AW105" i="5"/>
  <c r="AX105" i="5"/>
  <c r="AU106" i="5"/>
  <c r="AV106" i="5"/>
  <c r="AW106" i="5"/>
  <c r="AX106" i="5"/>
  <c r="AU107" i="5"/>
  <c r="AV107" i="5"/>
  <c r="AW107" i="5"/>
  <c r="AX107" i="5"/>
  <c r="AU108" i="5"/>
  <c r="AV108" i="5"/>
  <c r="AW108" i="5"/>
  <c r="AX108" i="5"/>
  <c r="AU109" i="5"/>
  <c r="AV109" i="5"/>
  <c r="AW109" i="5"/>
  <c r="AX109" i="5"/>
  <c r="AU110" i="5"/>
  <c r="AV110" i="5"/>
  <c r="AW110" i="5"/>
  <c r="AX110" i="5"/>
  <c r="AU111" i="5"/>
  <c r="AV111" i="5"/>
  <c r="AW111" i="5"/>
  <c r="AX111" i="5"/>
  <c r="AU112" i="5"/>
  <c r="AV112" i="5"/>
  <c r="AW112" i="5"/>
  <c r="AX112" i="5"/>
  <c r="AU113" i="5"/>
  <c r="AV113" i="5"/>
  <c r="AW113" i="5"/>
  <c r="AX113" i="5"/>
  <c r="AU114" i="5"/>
  <c r="AV114" i="5"/>
  <c r="AW114" i="5"/>
  <c r="AX114" i="5"/>
  <c r="AU115" i="5"/>
  <c r="AV115" i="5"/>
  <c r="AW115" i="5"/>
  <c r="AX115" i="5"/>
  <c r="AU116" i="5"/>
  <c r="AV116" i="5"/>
  <c r="AW116" i="5"/>
  <c r="AX116" i="5"/>
  <c r="AU117" i="5"/>
  <c r="AV117" i="5"/>
  <c r="AW117" i="5"/>
  <c r="AX117" i="5"/>
  <c r="AU118" i="5"/>
  <c r="AV118" i="5"/>
  <c r="AW118" i="5"/>
  <c r="AX118" i="5"/>
  <c r="AU119" i="5"/>
  <c r="AV119" i="5"/>
  <c r="AW119" i="5"/>
  <c r="AX119" i="5"/>
  <c r="AU120" i="5"/>
  <c r="AV120" i="5"/>
  <c r="AW120" i="5"/>
  <c r="AX120" i="5"/>
  <c r="AU121" i="5"/>
  <c r="AV121" i="5"/>
  <c r="AW121" i="5"/>
  <c r="AX121" i="5"/>
  <c r="AU122" i="5"/>
  <c r="AV122" i="5"/>
  <c r="AW122" i="5"/>
  <c r="AX122" i="5"/>
  <c r="AU123" i="5"/>
  <c r="AV123" i="5"/>
  <c r="AW123" i="5"/>
  <c r="AX123" i="5"/>
  <c r="AU124" i="5"/>
  <c r="AV124" i="5"/>
  <c r="AW124" i="5"/>
  <c r="AX124" i="5"/>
  <c r="AU125" i="5"/>
  <c r="AV125" i="5"/>
  <c r="AW125" i="5"/>
  <c r="AX125" i="5"/>
  <c r="AU126" i="5"/>
  <c r="AV126" i="5"/>
  <c r="AW126" i="5"/>
  <c r="AX126" i="5"/>
  <c r="AU127" i="5"/>
  <c r="AV127" i="5"/>
  <c r="AW127" i="5"/>
  <c r="AX127" i="5"/>
  <c r="AU128" i="5"/>
  <c r="AV128" i="5"/>
  <c r="AW128" i="5"/>
  <c r="AX128" i="5"/>
  <c r="AU129" i="5"/>
  <c r="AV129" i="5"/>
  <c r="AW129" i="5"/>
  <c r="AX129" i="5"/>
  <c r="AU130" i="5"/>
  <c r="AV130" i="5"/>
  <c r="AW130" i="5"/>
  <c r="AX130" i="5"/>
  <c r="AU131" i="5"/>
  <c r="AV131" i="5"/>
  <c r="AW131" i="5"/>
  <c r="AX131" i="5"/>
  <c r="AU132" i="5"/>
  <c r="AV132" i="5"/>
  <c r="AW132" i="5"/>
  <c r="AX132" i="5"/>
  <c r="AU133" i="5"/>
  <c r="AV133" i="5"/>
  <c r="AW133" i="5"/>
  <c r="AX133" i="5"/>
  <c r="AU134" i="5"/>
  <c r="AV134" i="5"/>
  <c r="AW134" i="5"/>
  <c r="AX134" i="5"/>
  <c r="AU135" i="5"/>
  <c r="AV135" i="5"/>
  <c r="AW135" i="5"/>
  <c r="AX135" i="5"/>
  <c r="AU136" i="5"/>
  <c r="AV136" i="5"/>
  <c r="AW136" i="5"/>
  <c r="AX136" i="5"/>
  <c r="AU137" i="5"/>
  <c r="AV137" i="5"/>
  <c r="AW137" i="5"/>
  <c r="AX137" i="5"/>
  <c r="AU138" i="5"/>
  <c r="AV138" i="5"/>
  <c r="AW138" i="5"/>
  <c r="AX138" i="5"/>
  <c r="AU139" i="5"/>
  <c r="AV139" i="5"/>
  <c r="AW139" i="5"/>
  <c r="AX139" i="5"/>
  <c r="AU140" i="5"/>
  <c r="AV140" i="5"/>
  <c r="AW140" i="5"/>
  <c r="AX140" i="5"/>
  <c r="AU141" i="5"/>
  <c r="AV141" i="5"/>
  <c r="AW141" i="5"/>
  <c r="AX141" i="5"/>
  <c r="AU142" i="5"/>
  <c r="AV142" i="5"/>
  <c r="AW142" i="5"/>
  <c r="AX142" i="5"/>
  <c r="AU143" i="5"/>
  <c r="AV143" i="5"/>
  <c r="AW143" i="5"/>
  <c r="AX143" i="5"/>
  <c r="AU144" i="5"/>
  <c r="AV144" i="5"/>
  <c r="AW144" i="5"/>
  <c r="AX144" i="5"/>
  <c r="AU145" i="5"/>
  <c r="AV145" i="5"/>
  <c r="AW145" i="5"/>
  <c r="AX145" i="5"/>
  <c r="AU146" i="5"/>
  <c r="AV146" i="5"/>
  <c r="AW146" i="5"/>
  <c r="AX146" i="5"/>
  <c r="AU147" i="5"/>
  <c r="AV147" i="5"/>
  <c r="AW147" i="5"/>
  <c r="AX147" i="5"/>
  <c r="AU148" i="5"/>
  <c r="AV148" i="5"/>
  <c r="AW148" i="5"/>
  <c r="AX148" i="5"/>
  <c r="AU149" i="5"/>
  <c r="AV149" i="5"/>
  <c r="AW149" i="5"/>
  <c r="AX149" i="5"/>
  <c r="AU150" i="5"/>
  <c r="AV150" i="5"/>
  <c r="AW150" i="5"/>
  <c r="AX150" i="5"/>
  <c r="AU151" i="5"/>
  <c r="AV151" i="5"/>
  <c r="AW151" i="5"/>
  <c r="AX151" i="5"/>
  <c r="AU152" i="5"/>
  <c r="AV152" i="5"/>
  <c r="AW152" i="5"/>
  <c r="AX152" i="5"/>
  <c r="AU153" i="5"/>
  <c r="AV153" i="5"/>
  <c r="AW153" i="5"/>
  <c r="AX153" i="5"/>
  <c r="AU154" i="5"/>
  <c r="AV154" i="5"/>
  <c r="AW154" i="5"/>
  <c r="AX154" i="5"/>
  <c r="AU155" i="5"/>
  <c r="AV155" i="5"/>
  <c r="AW155" i="5"/>
  <c r="AX155" i="5"/>
  <c r="AU156" i="5"/>
  <c r="AV156" i="5"/>
  <c r="AW156" i="5"/>
  <c r="AX156" i="5"/>
  <c r="AU157" i="5"/>
  <c r="AV157" i="5"/>
  <c r="AW157" i="5"/>
  <c r="AX157" i="5"/>
  <c r="AU158" i="5"/>
  <c r="AV158" i="5"/>
  <c r="AW158" i="5"/>
  <c r="AX158" i="5"/>
  <c r="AU159" i="5"/>
  <c r="AV159" i="5"/>
  <c r="AW159" i="5"/>
  <c r="AX159" i="5"/>
  <c r="AU160" i="5"/>
  <c r="AV160" i="5"/>
  <c r="AW160" i="5"/>
  <c r="AX160" i="5"/>
  <c r="AU161" i="5"/>
  <c r="AV161" i="5"/>
  <c r="AW161" i="5"/>
  <c r="AX161" i="5"/>
  <c r="AU162" i="5"/>
  <c r="AV162" i="5"/>
  <c r="AW162" i="5"/>
  <c r="AX162" i="5"/>
  <c r="AU163" i="5"/>
  <c r="AV163" i="5"/>
  <c r="AW163" i="5"/>
  <c r="AX163" i="5"/>
  <c r="AU164" i="5"/>
  <c r="AV164" i="5"/>
  <c r="AW164" i="5"/>
  <c r="AX164" i="5"/>
  <c r="AU165" i="5"/>
  <c r="AV165" i="5"/>
  <c r="AW165" i="5"/>
  <c r="AX165" i="5"/>
  <c r="AU166" i="5"/>
  <c r="AV166" i="5"/>
  <c r="AW166" i="5"/>
  <c r="AX166" i="5"/>
  <c r="AU167" i="5"/>
  <c r="AV167" i="5"/>
  <c r="AW167" i="5"/>
  <c r="AX167" i="5"/>
  <c r="AU168" i="5"/>
  <c r="AV168" i="5"/>
  <c r="AW168" i="5"/>
  <c r="AX168" i="5"/>
  <c r="AU169" i="5"/>
  <c r="AV169" i="5"/>
  <c r="AW169" i="5"/>
  <c r="AX169" i="5"/>
  <c r="AU170" i="5"/>
  <c r="AV170" i="5"/>
  <c r="AW170" i="5"/>
  <c r="AX170" i="5"/>
  <c r="AU171" i="5"/>
  <c r="AV171" i="5"/>
  <c r="AW171" i="5"/>
  <c r="AX171" i="5"/>
  <c r="AU172" i="5"/>
  <c r="AV172" i="5"/>
  <c r="AW172" i="5"/>
  <c r="AX172" i="5"/>
  <c r="AU173" i="5"/>
  <c r="AV173" i="5"/>
  <c r="AW173" i="5"/>
  <c r="AX173" i="5"/>
  <c r="AU174" i="5"/>
  <c r="AV174" i="5"/>
  <c r="AW174" i="5"/>
  <c r="AX174" i="5"/>
  <c r="AU175" i="5"/>
  <c r="AV175" i="5"/>
  <c r="AW175" i="5"/>
  <c r="AX175" i="5"/>
  <c r="AU176" i="5"/>
  <c r="AV176" i="5"/>
  <c r="AW176" i="5"/>
  <c r="AX176" i="5"/>
  <c r="AU177" i="5"/>
  <c r="AV177" i="5"/>
  <c r="AW177" i="5"/>
  <c r="AX177" i="5"/>
  <c r="AU178" i="5"/>
  <c r="AV178" i="5"/>
  <c r="AW178" i="5"/>
  <c r="AX178" i="5"/>
  <c r="AU179" i="5"/>
  <c r="AV179" i="5"/>
  <c r="AW179" i="5"/>
  <c r="AX179" i="5"/>
  <c r="AU180" i="5"/>
  <c r="AV180" i="5"/>
  <c r="AW180" i="5"/>
  <c r="AX180" i="5"/>
  <c r="AU181" i="5"/>
  <c r="AV181" i="5"/>
  <c r="AW181" i="5"/>
  <c r="AX181" i="5"/>
  <c r="AU182" i="5"/>
  <c r="AV182" i="5"/>
  <c r="AW182" i="5"/>
  <c r="AX182" i="5"/>
  <c r="AU183" i="5"/>
  <c r="AV183" i="5"/>
  <c r="AW183" i="5"/>
  <c r="AX183" i="5"/>
  <c r="AU184" i="5"/>
  <c r="AV184" i="5"/>
  <c r="AW184" i="5"/>
  <c r="AX184" i="5"/>
  <c r="AU185" i="5"/>
  <c r="AV185" i="5"/>
  <c r="AW185" i="5"/>
  <c r="AX185" i="5"/>
  <c r="AU186" i="5"/>
  <c r="AV186" i="5"/>
  <c r="AW186" i="5"/>
  <c r="AX186" i="5"/>
  <c r="AU187" i="5"/>
  <c r="AV187" i="5"/>
  <c r="AW187" i="5"/>
  <c r="AX187" i="5"/>
  <c r="AU188" i="5"/>
  <c r="AV188" i="5"/>
  <c r="AW188" i="5"/>
  <c r="AX188" i="5"/>
  <c r="AU189" i="5"/>
  <c r="AV189" i="5"/>
  <c r="AW189" i="5"/>
  <c r="AX189" i="5"/>
  <c r="AU190" i="5"/>
  <c r="AV190" i="5"/>
  <c r="AW190" i="5"/>
  <c r="AX190" i="5"/>
  <c r="AU191" i="5"/>
  <c r="AV191" i="5"/>
  <c r="AW191" i="5"/>
  <c r="AX191" i="5"/>
  <c r="AU192" i="5"/>
  <c r="AV192" i="5"/>
  <c r="AW192" i="5"/>
  <c r="AX192" i="5"/>
  <c r="AU193" i="5"/>
  <c r="AV193" i="5"/>
  <c r="AW193" i="5"/>
  <c r="AX193" i="5"/>
  <c r="AU194" i="5"/>
  <c r="AV194" i="5"/>
  <c r="AW194" i="5"/>
  <c r="AX194" i="5"/>
  <c r="AU195" i="5"/>
  <c r="AV195" i="5"/>
  <c r="AW195" i="5"/>
  <c r="AX195" i="5"/>
  <c r="AU196" i="5"/>
  <c r="AV196" i="5"/>
  <c r="AW196" i="5"/>
  <c r="AX196" i="5"/>
  <c r="AU197" i="5"/>
  <c r="AV197" i="5"/>
  <c r="AW197" i="5"/>
  <c r="AX197" i="5"/>
  <c r="AU198" i="5"/>
  <c r="AV198" i="5"/>
  <c r="AW198" i="5"/>
  <c r="AX198" i="5"/>
  <c r="AU199" i="5"/>
  <c r="AV199" i="5"/>
  <c r="AW199" i="5"/>
  <c r="AX199" i="5"/>
  <c r="AU200" i="5"/>
  <c r="AV200" i="5"/>
  <c r="AW200" i="5"/>
  <c r="AX200" i="5"/>
  <c r="AU201" i="5"/>
  <c r="AV201" i="5"/>
  <c r="AW201" i="5"/>
  <c r="AX201" i="5"/>
  <c r="AU202" i="5"/>
  <c r="AV202" i="5"/>
  <c r="AW202" i="5"/>
  <c r="AX202" i="5"/>
  <c r="AU203" i="5"/>
  <c r="AV203" i="5"/>
  <c r="AW203" i="5"/>
  <c r="AX203" i="5"/>
  <c r="AU204" i="5"/>
  <c r="AV204" i="5"/>
  <c r="AW204" i="5"/>
  <c r="AX204" i="5"/>
  <c r="AU205" i="5"/>
  <c r="AV205" i="5"/>
  <c r="AW205" i="5"/>
  <c r="AX205" i="5"/>
  <c r="AU206" i="5"/>
  <c r="AV206" i="5"/>
  <c r="AW206" i="5"/>
  <c r="AX206" i="5"/>
  <c r="AU207" i="5"/>
  <c r="AV207" i="5"/>
  <c r="AW207" i="5"/>
  <c r="AX207" i="5"/>
  <c r="AU208" i="5"/>
  <c r="AV208" i="5"/>
  <c r="AW208" i="5"/>
  <c r="AX208" i="5"/>
  <c r="AU209" i="5"/>
  <c r="AV209" i="5"/>
  <c r="AW209" i="5"/>
  <c r="AX209" i="5"/>
  <c r="AU210" i="5"/>
  <c r="AV210" i="5"/>
  <c r="AW210" i="5"/>
  <c r="AX210" i="5"/>
  <c r="AU211" i="5"/>
  <c r="AV211" i="5"/>
  <c r="AW211" i="5"/>
  <c r="AX211" i="5"/>
  <c r="AU212" i="5"/>
  <c r="AV212" i="5"/>
  <c r="AW212" i="5"/>
  <c r="AX212" i="5"/>
  <c r="AU213" i="5"/>
  <c r="AV213" i="5"/>
  <c r="AW213" i="5"/>
  <c r="AX213" i="5"/>
  <c r="AU214" i="5"/>
  <c r="AV214" i="5"/>
  <c r="AW214" i="5"/>
  <c r="AX214" i="5"/>
  <c r="AU215" i="5"/>
  <c r="AV215" i="5"/>
  <c r="AW215" i="5"/>
  <c r="AX215" i="5"/>
  <c r="AU216" i="5"/>
  <c r="AV216" i="5"/>
  <c r="AW216" i="5"/>
  <c r="AX216" i="5"/>
  <c r="AU217" i="5"/>
  <c r="AV217" i="5"/>
  <c r="AW217" i="5"/>
  <c r="AX217" i="5"/>
  <c r="AU218" i="5"/>
  <c r="AV218" i="5"/>
  <c r="AW218" i="5"/>
  <c r="AX218" i="5"/>
  <c r="AU219" i="5"/>
  <c r="AV219" i="5"/>
  <c r="AW219" i="5"/>
  <c r="AX219" i="5"/>
  <c r="AU220" i="5"/>
  <c r="AV220" i="5"/>
  <c r="AW220" i="5"/>
  <c r="AX220" i="5"/>
  <c r="AU221" i="5"/>
  <c r="AV221" i="5"/>
  <c r="AW221" i="5"/>
  <c r="AX221" i="5"/>
  <c r="AU222" i="5"/>
  <c r="AV222" i="5"/>
  <c r="AW222" i="5"/>
  <c r="AX222" i="5"/>
  <c r="AU223" i="5"/>
  <c r="AV223" i="5"/>
  <c r="AW223" i="5"/>
  <c r="AX223" i="5"/>
  <c r="AU224" i="5"/>
  <c r="AV224" i="5"/>
  <c r="AW224" i="5"/>
  <c r="AX224" i="5"/>
  <c r="AU225" i="5"/>
  <c r="AV225" i="5"/>
  <c r="AW225" i="5"/>
  <c r="AX225" i="5"/>
  <c r="AU226" i="5"/>
  <c r="AV226" i="5"/>
  <c r="AW226" i="5"/>
  <c r="AX226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X78" i="5" l="1"/>
  <c r="AW78" i="5"/>
  <c r="AV78" i="5"/>
  <c r="AU78" i="5"/>
  <c r="AS78" i="5"/>
  <c r="AX77" i="5"/>
  <c r="AW77" i="5"/>
  <c r="AV77" i="5"/>
  <c r="AU77" i="5"/>
  <c r="AS77" i="5"/>
  <c r="AX76" i="5"/>
  <c r="AW76" i="5"/>
  <c r="AV76" i="5"/>
  <c r="AU76" i="5"/>
  <c r="AS76" i="5"/>
  <c r="AX75" i="5"/>
  <c r="AW75" i="5"/>
  <c r="AV75" i="5"/>
  <c r="AU75" i="5"/>
  <c r="AS75" i="5"/>
  <c r="AX74" i="5"/>
  <c r="AW74" i="5"/>
  <c r="AV74" i="5"/>
  <c r="AU74" i="5"/>
  <c r="AS74" i="5"/>
  <c r="AX73" i="5"/>
  <c r="AW73" i="5"/>
  <c r="AV73" i="5"/>
  <c r="AU73" i="5"/>
  <c r="AS73" i="5"/>
  <c r="AX72" i="5"/>
  <c r="AW72" i="5"/>
  <c r="AV72" i="5"/>
  <c r="AU72" i="5"/>
  <c r="AS72" i="5"/>
  <c r="AX71" i="5"/>
  <c r="AW71" i="5"/>
  <c r="AV71" i="5"/>
  <c r="AU71" i="5"/>
  <c r="AS71" i="5"/>
  <c r="AX70" i="5"/>
  <c r="AW70" i="5"/>
  <c r="AV70" i="5"/>
  <c r="AU70" i="5"/>
  <c r="AS70" i="5"/>
  <c r="AX69" i="5"/>
  <c r="AW69" i="5"/>
  <c r="AV69" i="5"/>
  <c r="AU69" i="5"/>
  <c r="AS69" i="5"/>
  <c r="AX68" i="5"/>
  <c r="AW68" i="5"/>
  <c r="AV68" i="5"/>
  <c r="AU68" i="5"/>
  <c r="AS68" i="5"/>
  <c r="AX67" i="5"/>
  <c r="AW67" i="5"/>
  <c r="AV67" i="5"/>
  <c r="AU67" i="5"/>
  <c r="AS67" i="5"/>
  <c r="AX66" i="5"/>
  <c r="AW66" i="5"/>
  <c r="AV66" i="5"/>
  <c r="AU66" i="5"/>
  <c r="AS66" i="5"/>
  <c r="AX65" i="5"/>
  <c r="AW65" i="5"/>
  <c r="AV65" i="5"/>
  <c r="AU65" i="5"/>
  <c r="AS65" i="5"/>
  <c r="AX64" i="5"/>
  <c r="AW64" i="5"/>
  <c r="AV64" i="5"/>
  <c r="AU64" i="5"/>
  <c r="AS64" i="5"/>
  <c r="AX63" i="5"/>
  <c r="AW63" i="5"/>
  <c r="AV63" i="5"/>
  <c r="AU63" i="5"/>
  <c r="AS63" i="5"/>
  <c r="AX62" i="5"/>
  <c r="AW62" i="5"/>
  <c r="AV62" i="5"/>
  <c r="AU62" i="5"/>
  <c r="AS62" i="5"/>
  <c r="AX61" i="5"/>
  <c r="AW61" i="5"/>
  <c r="AV61" i="5"/>
  <c r="AU61" i="5"/>
  <c r="AS61" i="5"/>
  <c r="AX60" i="5"/>
  <c r="AW60" i="5"/>
  <c r="AV60" i="5"/>
  <c r="AU60" i="5"/>
  <c r="AS60" i="5"/>
  <c r="AX59" i="5"/>
  <c r="AW59" i="5"/>
  <c r="AV59" i="5"/>
  <c r="AU59" i="5"/>
  <c r="AS59" i="5"/>
  <c r="AX58" i="5"/>
  <c r="AW58" i="5"/>
  <c r="AV58" i="5"/>
  <c r="AU58" i="5"/>
  <c r="AS58" i="5"/>
  <c r="AX57" i="5"/>
  <c r="AW57" i="5"/>
  <c r="AV57" i="5"/>
  <c r="AU57" i="5"/>
  <c r="AS57" i="5"/>
  <c r="AX56" i="5"/>
  <c r="AW56" i="5"/>
  <c r="AV56" i="5"/>
  <c r="AU56" i="5"/>
  <c r="AS56" i="5"/>
  <c r="AX55" i="5"/>
  <c r="AW55" i="5"/>
  <c r="AV55" i="5"/>
  <c r="AU55" i="5"/>
  <c r="AS55" i="5"/>
  <c r="AX54" i="5"/>
  <c r="AW54" i="5"/>
  <c r="AV54" i="5"/>
  <c r="AU54" i="5"/>
  <c r="AS54" i="5"/>
  <c r="AX53" i="5"/>
  <c r="AW53" i="5"/>
  <c r="AV53" i="5"/>
  <c r="AU53" i="5"/>
  <c r="AS53" i="5"/>
  <c r="AX52" i="5"/>
  <c r="AW52" i="5"/>
  <c r="AV52" i="5"/>
  <c r="AU52" i="5"/>
  <c r="AS52" i="5"/>
  <c r="AX51" i="5"/>
  <c r="AW51" i="5"/>
  <c r="AV51" i="5"/>
  <c r="AU51" i="5"/>
  <c r="AS51" i="5"/>
  <c r="AX50" i="5"/>
  <c r="AW50" i="5"/>
  <c r="AV50" i="5"/>
  <c r="AU50" i="5"/>
  <c r="AS50" i="5"/>
  <c r="AX49" i="5"/>
  <c r="AW49" i="5"/>
  <c r="AV49" i="5"/>
  <c r="AU49" i="5"/>
  <c r="AS49" i="5"/>
  <c r="AX48" i="5"/>
  <c r="AW48" i="5"/>
  <c r="AV48" i="5"/>
  <c r="AU48" i="5"/>
  <c r="AS48" i="5"/>
  <c r="AX47" i="5"/>
  <c r="AW47" i="5"/>
  <c r="AV47" i="5"/>
  <c r="AU47" i="5"/>
  <c r="AS47" i="5"/>
  <c r="AX46" i="5"/>
  <c r="AW46" i="5"/>
  <c r="AV46" i="5"/>
  <c r="AU46" i="5"/>
  <c r="AS46" i="5"/>
  <c r="AX45" i="5"/>
  <c r="AW45" i="5"/>
  <c r="AV45" i="5"/>
  <c r="AU45" i="5"/>
  <c r="AS45" i="5"/>
  <c r="AX44" i="5"/>
  <c r="AW44" i="5"/>
  <c r="AV44" i="5"/>
  <c r="AU44" i="5"/>
  <c r="AS44" i="5"/>
  <c r="AX43" i="5"/>
  <c r="AW43" i="5"/>
  <c r="AV43" i="5"/>
  <c r="AU43" i="5"/>
  <c r="AS43" i="5"/>
  <c r="AX42" i="5"/>
  <c r="AW42" i="5"/>
  <c r="AV42" i="5"/>
  <c r="AU42" i="5"/>
  <c r="AS42" i="5"/>
  <c r="AX41" i="5"/>
  <c r="AW41" i="5"/>
  <c r="AV41" i="5"/>
  <c r="AU41" i="5"/>
  <c r="AS41" i="5"/>
  <c r="AX40" i="5"/>
  <c r="AW40" i="5"/>
  <c r="AV40" i="5"/>
  <c r="AU40" i="5"/>
  <c r="AS40" i="5"/>
  <c r="AX39" i="5"/>
  <c r="AW39" i="5"/>
  <c r="AV39" i="5"/>
  <c r="AU39" i="5"/>
  <c r="AS39" i="5"/>
  <c r="AX38" i="5"/>
  <c r="AW38" i="5"/>
  <c r="AV38" i="5"/>
  <c r="AU38" i="5"/>
  <c r="AS38" i="5"/>
  <c r="AX37" i="5"/>
  <c r="AW37" i="5"/>
  <c r="AV37" i="5"/>
  <c r="AU37" i="5"/>
  <c r="AS37" i="5"/>
  <c r="AX36" i="5"/>
  <c r="AW36" i="5"/>
  <c r="AV36" i="5"/>
  <c r="AU36" i="5"/>
  <c r="AS36" i="5"/>
  <c r="AX35" i="5"/>
  <c r="AW35" i="5"/>
  <c r="AV35" i="5"/>
  <c r="AU35" i="5"/>
  <c r="AS35" i="5"/>
  <c r="AX34" i="5"/>
  <c r="AW34" i="5"/>
  <c r="AV34" i="5"/>
  <c r="AU34" i="5"/>
  <c r="AS34" i="5"/>
  <c r="AX33" i="5"/>
  <c r="AW33" i="5"/>
  <c r="AV33" i="5"/>
  <c r="AU33" i="5"/>
  <c r="AS33" i="5"/>
  <c r="AX32" i="5"/>
  <c r="AW32" i="5"/>
  <c r="AV32" i="5"/>
  <c r="AU32" i="5"/>
  <c r="AS32" i="5"/>
  <c r="AX31" i="5"/>
  <c r="AW31" i="5"/>
  <c r="AV31" i="5"/>
  <c r="AU31" i="5"/>
  <c r="AS31" i="5"/>
  <c r="AX30" i="5"/>
  <c r="AW30" i="5"/>
  <c r="AV30" i="5"/>
  <c r="AU30" i="5"/>
  <c r="AS30" i="5"/>
  <c r="AX29" i="5"/>
  <c r="AW29" i="5"/>
  <c r="AV29" i="5"/>
  <c r="AU29" i="5"/>
  <c r="AS29" i="5"/>
  <c r="AX28" i="5"/>
  <c r="AW28" i="5"/>
  <c r="AV28" i="5"/>
  <c r="AU28" i="5"/>
  <c r="AS28" i="5"/>
  <c r="AX27" i="5"/>
  <c r="AW27" i="5"/>
  <c r="AV27" i="5"/>
  <c r="AU27" i="5"/>
  <c r="AS27" i="5"/>
  <c r="AX26" i="5"/>
  <c r="AW26" i="5"/>
  <c r="AV26" i="5"/>
  <c r="AU26" i="5"/>
  <c r="AS26" i="5"/>
  <c r="AX25" i="5"/>
  <c r="AW25" i="5"/>
  <c r="AV25" i="5"/>
  <c r="AU25" i="5"/>
  <c r="AS25" i="5"/>
  <c r="AX24" i="5"/>
  <c r="AW24" i="5"/>
  <c r="AV24" i="5"/>
  <c r="AU24" i="5"/>
  <c r="AS24" i="5"/>
  <c r="AX23" i="5"/>
  <c r="AW23" i="5"/>
  <c r="AV23" i="5"/>
  <c r="AU23" i="5"/>
  <c r="AS23" i="5"/>
  <c r="AX22" i="5"/>
  <c r="AW22" i="5"/>
  <c r="AV22" i="5"/>
  <c r="AU22" i="5"/>
  <c r="AS22" i="5"/>
  <c r="AX21" i="5"/>
  <c r="AW21" i="5"/>
  <c r="AV21" i="5"/>
  <c r="AU21" i="5"/>
  <c r="AS21" i="5"/>
  <c r="AX20" i="5"/>
  <c r="AW20" i="5"/>
  <c r="AV20" i="5"/>
  <c r="AU20" i="5"/>
  <c r="AS20" i="5"/>
  <c r="AX19" i="5"/>
  <c r="AW19" i="5"/>
  <c r="AV19" i="5"/>
  <c r="AU19" i="5"/>
  <c r="AS19" i="5"/>
  <c r="AX18" i="5"/>
  <c r="AW18" i="5"/>
  <c r="AV18" i="5"/>
  <c r="AU18" i="5"/>
  <c r="AS18" i="5"/>
  <c r="AX17" i="5"/>
  <c r="AW17" i="5"/>
  <c r="AV17" i="5"/>
  <c r="AU17" i="5"/>
  <c r="AS17" i="5"/>
  <c r="AX16" i="5"/>
  <c r="AW16" i="5"/>
  <c r="AV16" i="5"/>
  <c r="AU16" i="5"/>
  <c r="AS16" i="5"/>
  <c r="AX15" i="5"/>
  <c r="AW15" i="5"/>
  <c r="AV15" i="5"/>
  <c r="AU15" i="5"/>
  <c r="AS15" i="5"/>
  <c r="AX14" i="5"/>
  <c r="AW14" i="5"/>
  <c r="AV14" i="5"/>
  <c r="AU14" i="5"/>
  <c r="AS14" i="5"/>
  <c r="AX13" i="5"/>
  <c r="AW13" i="5"/>
  <c r="AV13" i="5"/>
  <c r="AU13" i="5"/>
  <c r="AS13" i="5"/>
  <c r="AX12" i="5"/>
  <c r="AW12" i="5"/>
  <c r="AV12" i="5"/>
  <c r="AU12" i="5"/>
  <c r="AS12" i="5"/>
  <c r="AX11" i="5"/>
  <c r="AW11" i="5"/>
  <c r="AV11" i="5"/>
  <c r="AU11" i="5"/>
  <c r="AS11" i="5"/>
  <c r="AX10" i="5"/>
  <c r="AW10" i="5"/>
  <c r="AV10" i="5"/>
  <c r="AU10" i="5"/>
  <c r="AS10" i="5"/>
  <c r="AX9" i="5"/>
  <c r="AW9" i="5"/>
  <c r="AV9" i="5"/>
  <c r="AU9" i="5"/>
  <c r="AS9" i="5"/>
  <c r="AX8" i="5"/>
  <c r="AW8" i="5"/>
  <c r="AV8" i="5"/>
  <c r="AU8" i="5"/>
  <c r="AS8" i="5"/>
  <c r="AX7" i="5"/>
  <c r="AW7" i="5"/>
  <c r="AV7" i="5"/>
  <c r="AU7" i="5"/>
  <c r="AS7" i="5"/>
  <c r="AX6" i="5"/>
  <c r="AW6" i="5"/>
  <c r="AV6" i="5"/>
  <c r="AU6" i="5"/>
  <c r="AS6" i="5"/>
  <c r="AX5" i="5"/>
  <c r="AW5" i="5"/>
  <c r="AV5" i="5"/>
  <c r="AU5" i="5"/>
  <c r="AS5" i="5"/>
  <c r="AX4" i="5"/>
  <c r="AW4" i="5"/>
  <c r="AV4" i="5"/>
  <c r="AU4" i="5"/>
  <c r="AS4" i="5"/>
  <c r="AX3" i="5"/>
  <c r="AW3" i="5"/>
  <c r="AV3" i="5"/>
  <c r="AU3" i="5"/>
  <c r="AY1" i="5"/>
  <c r="AR1" i="5" l="1"/>
  <c r="AS3" i="5"/>
  <c r="AS1" i="5" s="1"/>
  <c r="AZ1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tc={255340CF-89B3-4B18-A7F8-E9486D827E13}</author>
  </authors>
  <commentList>
    <comment ref="AY2" authorId="0" shapeId="0" xr:uid="{255340CF-89B3-4B18-A7F8-E9486D827E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Preencher após receber a cotação validada</t>
      </text>
    </comment>
  </commentList>
</comments>
</file>

<file path=xl/sharedStrings.xml><?xml version="1.0" encoding="utf-8"?>
<sst xmlns="http://schemas.openxmlformats.org/spreadsheetml/2006/main" count="8187" uniqueCount="881">
  <si>
    <t>Dados da Apólice e Item da Apólice - EXPORTAÇÃO</t>
  </si>
  <si>
    <t>Endosso</t>
  </si>
  <si>
    <t>Data Endosso</t>
  </si>
  <si>
    <t>Item da Apólice</t>
  </si>
  <si>
    <t>N° Apólice Seguradora</t>
  </si>
  <si>
    <t>Seguradora</t>
  </si>
  <si>
    <t>Corretora</t>
  </si>
  <si>
    <t>Início da Vigência</t>
  </si>
  <si>
    <t>Final da Vigência</t>
  </si>
  <si>
    <t>Data Apólice</t>
  </si>
  <si>
    <t>Cnpj Cliente</t>
  </si>
  <si>
    <t>Cliente</t>
  </si>
  <si>
    <t>Placa</t>
  </si>
  <si>
    <t>Placa Substituição</t>
  </si>
  <si>
    <t>Chassi</t>
  </si>
  <si>
    <t>Montadora</t>
  </si>
  <si>
    <t>Fabricante</t>
  </si>
  <si>
    <t>Modelo</t>
  </si>
  <si>
    <t>Ano Fabricação</t>
  </si>
  <si>
    <t>Ano Modelo</t>
  </si>
  <si>
    <t>Fipe</t>
  </si>
  <si>
    <t>Percentual Fipe</t>
  </si>
  <si>
    <t>Valor Fipe Veículo</t>
  </si>
  <si>
    <t>Valor Casco</t>
  </si>
  <si>
    <t>Valor Franquia</t>
  </si>
  <si>
    <t>Valor Desconto Franquia</t>
  </si>
  <si>
    <t>Valor RCF</t>
  </si>
  <si>
    <t>Valor Danos Materiais</t>
  </si>
  <si>
    <t>Valor Danos Morais</t>
  </si>
  <si>
    <t>Valor Danos Corporais</t>
  </si>
  <si>
    <t>Valor App Morte</t>
  </si>
  <si>
    <t>Valor App Invalidez</t>
  </si>
  <si>
    <t>Premio Casco</t>
  </si>
  <si>
    <t>Premio RCF</t>
  </si>
  <si>
    <t>Prêmio Danos Materiais</t>
  </si>
  <si>
    <t>Prêmio Danos Morais</t>
  </si>
  <si>
    <t>Prêmio Danos Corporais</t>
  </si>
  <si>
    <t>Prêmio App Morte</t>
  </si>
  <si>
    <t>Prêmio App Invalidez</t>
  </si>
  <si>
    <t>Início Vigência (Item)</t>
  </si>
  <si>
    <t>Final Vigência (Item)</t>
  </si>
  <si>
    <t>Custo Emissão</t>
  </si>
  <si>
    <t>Tipo Cobertura</t>
  </si>
  <si>
    <t>Região do Seguro</t>
  </si>
  <si>
    <t>Valor Pagamento</t>
  </si>
  <si>
    <t>Data proposta</t>
  </si>
  <si>
    <t>Valor Blindagem</t>
  </si>
  <si>
    <t>Apólice Endosso</t>
  </si>
  <si>
    <t>Apolice Endossos</t>
  </si>
  <si>
    <t>Código</t>
  </si>
  <si>
    <t>Tipo Endosso</t>
  </si>
  <si>
    <t>Segmento</t>
  </si>
  <si>
    <t>CNPJ</t>
  </si>
  <si>
    <t>Apólice</t>
  </si>
  <si>
    <t>Apólice Item</t>
  </si>
  <si>
    <t xml:space="preserve">Seguradora </t>
  </si>
  <si>
    <t>Início Vigência</t>
  </si>
  <si>
    <t>Final Vigência</t>
  </si>
  <si>
    <t xml:space="preserve">Data Endosso </t>
  </si>
  <si>
    <t>Contrato Master</t>
  </si>
  <si>
    <t>Contrato Item</t>
  </si>
  <si>
    <t>Veículo Item</t>
  </si>
  <si>
    <t>Combustível</t>
  </si>
  <si>
    <t>Portas</t>
  </si>
  <si>
    <t>Valor Acessórios</t>
  </si>
  <si>
    <t>Valor Fipe</t>
  </si>
  <si>
    <t>Desconto Franquia</t>
  </si>
  <si>
    <t>Danos Materiais</t>
  </si>
  <si>
    <t>Danos Morais</t>
  </si>
  <si>
    <t>Danos Corporais</t>
  </si>
  <si>
    <t>App Morte</t>
  </si>
  <si>
    <t>App Invalidez</t>
  </si>
  <si>
    <t>Prêmio Casco</t>
  </si>
  <si>
    <t>Prêmio RCF</t>
  </si>
  <si>
    <t>Região Seguro</t>
  </si>
  <si>
    <t>Cobertura Vidro</t>
  </si>
  <si>
    <t>Valor Cobertura Vidro</t>
  </si>
  <si>
    <t>Valor Franquia Vidro</t>
  </si>
  <si>
    <t>Frota total</t>
  </si>
  <si>
    <t>Dev Prêmio</t>
  </si>
  <si>
    <t>Primeiro dia do mês da ativação</t>
  </si>
  <si>
    <t>Primeiro dia do mês seguinte após a devolução</t>
  </si>
  <si>
    <t>Cotação GM Fleet
(70% prêmio + IOF)</t>
  </si>
  <si>
    <t>Cotação Tokio 
(70% prêmio + IOF)</t>
  </si>
  <si>
    <t>05.31.37765770</t>
  </si>
  <si>
    <t>INCLUSAO</t>
  </si>
  <si>
    <t/>
  </si>
  <si>
    <t>GM - Chevrolet</t>
  </si>
  <si>
    <t>004517-9</t>
  </si>
  <si>
    <t>5A48ATR7J</t>
  </si>
  <si>
    <t>ONIX HATCH LS 1.0 12V FLEX 5P MEC. MY26</t>
  </si>
  <si>
    <t>3KCRJRPEA</t>
  </si>
  <si>
    <t>Blazer EV RS</t>
  </si>
  <si>
    <t>004553-5</t>
  </si>
  <si>
    <t>5A43TTRFA</t>
  </si>
  <si>
    <t>NOVA MONTANA LS 1,2T TURBO MANUAL MY26</t>
  </si>
  <si>
    <t>004539-0</t>
  </si>
  <si>
    <t>40.432.544/0001-47</t>
  </si>
  <si>
    <t>CLARO</t>
  </si>
  <si>
    <t>5B76DTR8D</t>
  </si>
  <si>
    <t>TRACKER LT 1.0 TURBO 12V FLEX AUT. MY26</t>
  </si>
  <si>
    <t>004522-5</t>
  </si>
  <si>
    <t>3B76DTR8D</t>
  </si>
  <si>
    <t>TRACKER LT 1.0 TURBO 12V FLEX AUT. MY26 ROS</t>
  </si>
  <si>
    <t>Inclusão</t>
  </si>
  <si>
    <t>Locação - Terceirização de Frotas</t>
  </si>
  <si>
    <t>TOKIO MARINE</t>
  </si>
  <si>
    <t>Flex</t>
  </si>
  <si>
    <t>Padrão (100%) sem blindagem - 150k - Contrato 2025</t>
  </si>
  <si>
    <t>ONIX 1.0 FLEX LS MT - Azul Boreal</t>
  </si>
  <si>
    <t>Dealer Plan</t>
  </si>
  <si>
    <t>Blazer EV RS - Branco Abalone</t>
  </si>
  <si>
    <t>Elétrico</t>
  </si>
  <si>
    <t>Padrão (100%) sem blindagem - 300k - Contrato 2025</t>
  </si>
  <si>
    <t>Blazer EV RS - Prata Shark</t>
  </si>
  <si>
    <t>Diesel</t>
  </si>
  <si>
    <t>TRACKER LT 5DR 1,0T - Branco Summit</t>
  </si>
  <si>
    <t>Padrão (100%) sem blindagem - 1M - Contrato 2025</t>
  </si>
  <si>
    <t>TRACKER LT 5DR 1,0T ROS - Branco Summit</t>
  </si>
  <si>
    <t>26/01/2026</t>
  </si>
  <si>
    <t>27/01/2026</t>
  </si>
  <si>
    <t>05/12/2025</t>
  </si>
  <si>
    <t>17/12/2025</t>
  </si>
  <si>
    <t>3DLKRSPEE</t>
  </si>
  <si>
    <t>Equinox EV - Branco Summit</t>
  </si>
  <si>
    <t>004554-3</t>
  </si>
  <si>
    <t>5B48HTRFO</t>
  </si>
  <si>
    <t>004511-0</t>
  </si>
  <si>
    <t>Padrão (100%) sem blindagem - 500k - Contrato 2025</t>
  </si>
  <si>
    <t>15.431.830/0001-40</t>
  </si>
  <si>
    <t>HIKVISION DO BRASIL COMERCIO DE EQUIPAMENTOS DE SEGURANCA LTDA.</t>
  </si>
  <si>
    <t>Funcionário</t>
  </si>
  <si>
    <t>ONIX 1.0 FLEX LS MT - Branco Summit</t>
  </si>
  <si>
    <t>E-Commerce</t>
  </si>
  <si>
    <t>5P752TR6S</t>
  </si>
  <si>
    <t>004417-2</t>
  </si>
  <si>
    <t>79.107.918/0001-94</t>
  </si>
  <si>
    <t>TV INDEPENDENCIA LTDA</t>
  </si>
  <si>
    <t>Smart Car</t>
  </si>
  <si>
    <t>00.391.234/0001-07</t>
  </si>
  <si>
    <t>Eixosul - Importadora e Distribuidora Ltda</t>
  </si>
  <si>
    <t>3DLKRRPEE</t>
  </si>
  <si>
    <t>84.920.792/0001-02</t>
  </si>
  <si>
    <t>OBRA PRIMA S/A TECNOLOGIA E ADMINISTRACAO DE SERVICOS</t>
  </si>
  <si>
    <t>Campanha</t>
  </si>
  <si>
    <t>28.985.272/0001-07</t>
  </si>
  <si>
    <t>TDGI FACILITIES E MANUTENCAO DE INSTALACOES LTDA.</t>
  </si>
  <si>
    <t>07.457.118/0001-92</t>
  </si>
  <si>
    <t>MAESTRA PRESTACAO DE SERVICOS DE APOIO A EDUCACAO LTDA</t>
  </si>
  <si>
    <t>88.065.321/0001-15</t>
  </si>
  <si>
    <t>FCC CIENCIA DOS MATERIAIS LTDA</t>
  </si>
  <si>
    <t>43.894.609/0001-64</t>
  </si>
  <si>
    <t>POLITEC SAUDE</t>
  </si>
  <si>
    <t>3A48HTRFL</t>
  </si>
  <si>
    <t>ONIX HB BASE MT 5DR 1,0 TURBO - Preto Ouro Negro</t>
  </si>
  <si>
    <t>Álcool</t>
  </si>
  <si>
    <t>004512-8</t>
  </si>
  <si>
    <t>02.020.620/0005-41</t>
  </si>
  <si>
    <t>VIAMAR (PEREIRA BARRETO)</t>
  </si>
  <si>
    <t>Equinox EV 2024</t>
  </si>
  <si>
    <t>ONIX HATCH 1.0 TURBO LT FLEX 5P AUT. MY26</t>
  </si>
  <si>
    <t>SPIN 1.8 PREMIER AT 7 LUGARES MY26</t>
  </si>
  <si>
    <t>ONIX HATCH  1.0 TB FLEX 5P MEC. MY26</t>
  </si>
  <si>
    <t>02/02/2026</t>
  </si>
  <si>
    <t>15/01/2026</t>
  </si>
  <si>
    <t>18/12/2025</t>
  </si>
  <si>
    <t>29/01/2026</t>
  </si>
  <si>
    <t>30/01/2026</t>
  </si>
  <si>
    <t>21/01/2026</t>
  </si>
  <si>
    <t>23/12/2025</t>
  </si>
  <si>
    <t>30/12/2025</t>
  </si>
  <si>
    <t>29/12/2025</t>
  </si>
  <si>
    <t>23/02/2026</t>
  </si>
  <si>
    <t>24/02/2026</t>
  </si>
  <si>
    <t>12/12/2025</t>
  </si>
  <si>
    <t>03/02/2026</t>
  </si>
  <si>
    <t>3GN7D8RR8RS277477</t>
  </si>
  <si>
    <t>UEO7F35</t>
  </si>
  <si>
    <t>25.043.386/0003-01</t>
  </si>
  <si>
    <t>PHINIA DELPHI BRASIL LTDA</t>
  </si>
  <si>
    <t>QSP8I11</t>
  </si>
  <si>
    <t>9BGEA48H0TG191769</t>
  </si>
  <si>
    <t>5A48HTR7K</t>
  </si>
  <si>
    <t>ONIX HATCH 1.0 TURBO FLEX 5P AUT. MY26</t>
  </si>
  <si>
    <t>004514-4</t>
  </si>
  <si>
    <t>54.946.356/0001-41</t>
  </si>
  <si>
    <t>DIVINO CITRUS LTDA</t>
  </si>
  <si>
    <t>UFB0J24</t>
  </si>
  <si>
    <t>3GN7D8RR6SS170479</t>
  </si>
  <si>
    <t>Equinox EV 2025</t>
  </si>
  <si>
    <t>43.017.222/0001-20</t>
  </si>
  <si>
    <t>MEDSEG</t>
  </si>
  <si>
    <t>UDI1G51</t>
  </si>
  <si>
    <t>3GNKD9RK6RS256923</t>
  </si>
  <si>
    <t>UDP2G94</t>
  </si>
  <si>
    <t>8AGEB76D0TR101038</t>
  </si>
  <si>
    <t>QSS3E70</t>
  </si>
  <si>
    <t>9BGEB76D0TB127146</t>
  </si>
  <si>
    <t>UDM3A26</t>
  </si>
  <si>
    <t>9BGEB76D0TB126985</t>
  </si>
  <si>
    <t>UDT3C49</t>
  </si>
  <si>
    <t>9BGEB76D0TB126931</t>
  </si>
  <si>
    <t>GIY5G42</t>
  </si>
  <si>
    <t>9BGEA48H0TG205966</t>
  </si>
  <si>
    <t>55.297.253/0001-60</t>
  </si>
  <si>
    <t>TECNO TOOLS FERRAMENTAS E ABRASIVOS LTDA</t>
  </si>
  <si>
    <t>QSQ8G21</t>
  </si>
  <si>
    <t>9BGEA48A0TG199720</t>
  </si>
  <si>
    <t>UFH2J24</t>
  </si>
  <si>
    <t>9BGEA48H0TG205958</t>
  </si>
  <si>
    <t>UDL7A42</t>
  </si>
  <si>
    <t>3GNKD9RK7RS256526</t>
  </si>
  <si>
    <t>UEX4D43</t>
  </si>
  <si>
    <t>9BGEA48A0TG199730</t>
  </si>
  <si>
    <t>UGC8J77</t>
  </si>
  <si>
    <t>9BGEA48A0TG199728</t>
  </si>
  <si>
    <t>UDS1D51</t>
  </si>
  <si>
    <t>9BGEA48A0TG199727</t>
  </si>
  <si>
    <t>TKZ4D93</t>
  </si>
  <si>
    <t>9BGEA48A0TG199723</t>
  </si>
  <si>
    <t>01.197.867/0001-41</t>
  </si>
  <si>
    <t>ABSOLUTA (DIREITOS HUMANOS)</t>
  </si>
  <si>
    <t>QSY7F07</t>
  </si>
  <si>
    <t>3GNKD9RK5RS264480</t>
  </si>
  <si>
    <t>QSW7H07</t>
  </si>
  <si>
    <t>3GNKD9RK0RS264869</t>
  </si>
  <si>
    <t>18.336.329/0001-93</t>
  </si>
  <si>
    <t>MCS PATRIMONIAL S/A</t>
  </si>
  <si>
    <t>TIZ8A46</t>
  </si>
  <si>
    <t>9BG148MK0TC440375</t>
  </si>
  <si>
    <t>148MKTR6V</t>
  </si>
  <si>
    <t>S10 CD DIESEL LTZ 4X4  2.8 AT MY 26</t>
  </si>
  <si>
    <t>004395-8</t>
  </si>
  <si>
    <t>3481KTR7F</t>
  </si>
  <si>
    <t>S10 CD DIESEL 2.8 4X4 WT MT MY 26</t>
  </si>
  <si>
    <t>UEA5D35</t>
  </si>
  <si>
    <t>9BGEA48H0TG205954</t>
  </si>
  <si>
    <t>04.264.431/0001-16</t>
  </si>
  <si>
    <t>POSTO OURO PRETO</t>
  </si>
  <si>
    <t>UEM7A08</t>
  </si>
  <si>
    <t>3GN7D8RR4SS174790</t>
  </si>
  <si>
    <t>UDS3C83</t>
  </si>
  <si>
    <t>9BGEA48A0TG191824</t>
  </si>
  <si>
    <t>UDR4D65</t>
  </si>
  <si>
    <t>9BGEA48A0TG209683</t>
  </si>
  <si>
    <t>UEV4E45</t>
  </si>
  <si>
    <t>9BGEA48A0TG199724</t>
  </si>
  <si>
    <t>UED2D57</t>
  </si>
  <si>
    <t>9BGEA48A0TG199719</t>
  </si>
  <si>
    <t>UDM3E24</t>
  </si>
  <si>
    <t>9BGEB76D0TB153401</t>
  </si>
  <si>
    <t>UDN1B17</t>
  </si>
  <si>
    <t>9BGEB76D0TB152819</t>
  </si>
  <si>
    <t>UFJ6D32</t>
  </si>
  <si>
    <t>9BGEB76D0TB127233</t>
  </si>
  <si>
    <t>UEJ7J36</t>
  </si>
  <si>
    <t>9BGEB76D0TB127027</t>
  </si>
  <si>
    <t>UDI5D67</t>
  </si>
  <si>
    <t>9BGEB76D0TB127137</t>
  </si>
  <si>
    <t>UEB8J68</t>
  </si>
  <si>
    <t>9BGEB76D0TB127067</t>
  </si>
  <si>
    <t>UGK8H80</t>
  </si>
  <si>
    <t>9BGEB76D0TB127397</t>
  </si>
  <si>
    <t>FNP8B12</t>
  </si>
  <si>
    <t>9BGEB76D0TB126929</t>
  </si>
  <si>
    <t>UDK8I74</t>
  </si>
  <si>
    <t>9BGEB76D0TB126793</t>
  </si>
  <si>
    <t>UEY5H98</t>
  </si>
  <si>
    <t>9BGEB76D0TB126786</t>
  </si>
  <si>
    <t>QSW2G67</t>
  </si>
  <si>
    <t>9BGEB76D0TB126918</t>
  </si>
  <si>
    <t>TJA4F15</t>
  </si>
  <si>
    <t>9BGEB76D0TB152876</t>
  </si>
  <si>
    <t>UER3D23</t>
  </si>
  <si>
    <t>9BGEB76D0TB127310</t>
  </si>
  <si>
    <t>UEO1B13</t>
  </si>
  <si>
    <t>9BGEA48H0TG205964</t>
  </si>
  <si>
    <t>00.506.346/0001-66</t>
  </si>
  <si>
    <t>ALIANCA ATACADISTA LTDA</t>
  </si>
  <si>
    <t>UDU5A14</t>
  </si>
  <si>
    <t>9BGEA48A0TG209918</t>
  </si>
  <si>
    <t>UFW7B05</t>
  </si>
  <si>
    <t>9BGEA48A0TG209825</t>
  </si>
  <si>
    <t>UEH6F76</t>
  </si>
  <si>
    <t>9BGEA48A0TG209638</t>
  </si>
  <si>
    <t>UER9D51</t>
  </si>
  <si>
    <t>9BGEA48H0TG205969</t>
  </si>
  <si>
    <t>338.779.578-54</t>
  </si>
  <si>
    <t>Dario Simoes Fernandes Filho</t>
  </si>
  <si>
    <t>UFV9F95</t>
  </si>
  <si>
    <t>3GNKD9RK5RS273311</t>
  </si>
  <si>
    <t>GEY9G03</t>
  </si>
  <si>
    <t>9BGEA48A0TG211543</t>
  </si>
  <si>
    <t>TKX6B24</t>
  </si>
  <si>
    <t>9BGEA48A0TG211863</t>
  </si>
  <si>
    <t>034.091.094-12</t>
  </si>
  <si>
    <t>Marcela Santos de Carvaho</t>
  </si>
  <si>
    <t>TKQ2G03</t>
  </si>
  <si>
    <t>9BGEY76T0TB142738</t>
  </si>
  <si>
    <t>5Y76TTR8I</t>
  </si>
  <si>
    <t>TRACKER 1.2 TURBO PREMIER (AT) MY26</t>
  </si>
  <si>
    <t>004525-0</t>
  </si>
  <si>
    <t>UEF4I54</t>
  </si>
  <si>
    <t>9BGEB76D0TB126845</t>
  </si>
  <si>
    <t>UDQ6F78</t>
  </si>
  <si>
    <t>9BGEB76D0TB126900</t>
  </si>
  <si>
    <t>UDC0D69</t>
  </si>
  <si>
    <t>8AGEB76D0TR101465</t>
  </si>
  <si>
    <t>UFK3E53</t>
  </si>
  <si>
    <t>9BGEB76D0TB127261</t>
  </si>
  <si>
    <t>UDC3H45</t>
  </si>
  <si>
    <t>8AGEB76D0TR100621</t>
  </si>
  <si>
    <t>UDJ3J88</t>
  </si>
  <si>
    <t>9BGEB76D0TB127424</t>
  </si>
  <si>
    <t>UDY4H34</t>
  </si>
  <si>
    <t>9BGEB76D0TB127242</t>
  </si>
  <si>
    <t>UGA4G58</t>
  </si>
  <si>
    <t>9BGEA48H0TG191766</t>
  </si>
  <si>
    <t>UFB9I87</t>
  </si>
  <si>
    <t>9BGEA48H0TG191772</t>
  </si>
  <si>
    <t>UEI2J46</t>
  </si>
  <si>
    <t>9BGEA48H0TG191775</t>
  </si>
  <si>
    <t>UFD5H10</t>
  </si>
  <si>
    <t>9BGEB76D0TB127292</t>
  </si>
  <si>
    <t>UEC6F39</t>
  </si>
  <si>
    <t>8AGEB76D0TR100119</t>
  </si>
  <si>
    <t>UFO0I82</t>
  </si>
  <si>
    <t>9BGEB76D0TB127388</t>
  </si>
  <si>
    <t>UDB3C37</t>
  </si>
  <si>
    <t>9BGEA48A0TG209814</t>
  </si>
  <si>
    <t>12.509.521/0001-58</t>
  </si>
  <si>
    <t>M4 SECURITY</t>
  </si>
  <si>
    <t>UEZ9G87</t>
  </si>
  <si>
    <t>3GN7D8RR0SS174818</t>
  </si>
  <si>
    <t>UEY7H07</t>
  </si>
  <si>
    <t>3GNKD9RK5RS265497</t>
  </si>
  <si>
    <t>UEV6A75</t>
  </si>
  <si>
    <t>9BGEB76D0TB127384</t>
  </si>
  <si>
    <t>UDM6J89</t>
  </si>
  <si>
    <t>9BGEB76D0TB127018</t>
  </si>
  <si>
    <t>UDD3G01</t>
  </si>
  <si>
    <t>9BGEB76D0TB127287</t>
  </si>
  <si>
    <t>UDS4D38</t>
  </si>
  <si>
    <t>9BGEB76D0TB127112</t>
  </si>
  <si>
    <t>UEF5E38</t>
  </si>
  <si>
    <t>9BGEB76D0TB127082</t>
  </si>
  <si>
    <t>UDJ6C38</t>
  </si>
  <si>
    <t>9BGEB76D0TB127252</t>
  </si>
  <si>
    <t>UFJ6H14</t>
  </si>
  <si>
    <t>9BGEB76D0TB127273</t>
  </si>
  <si>
    <t>UDC8E25</t>
  </si>
  <si>
    <t>9BGEB76D0TB127263</t>
  </si>
  <si>
    <t>QSO3I38</t>
  </si>
  <si>
    <t>9BGEB76D0TB127174</t>
  </si>
  <si>
    <t>UDZ2C51</t>
  </si>
  <si>
    <t>9BGEB76D0TB127014</t>
  </si>
  <si>
    <t>TMC9B13</t>
  </si>
  <si>
    <t>9BGEB76D0TB127039</t>
  </si>
  <si>
    <t>UDC0J66</t>
  </si>
  <si>
    <t>9BGEB76D0TB127280</t>
  </si>
  <si>
    <t>UFT9G68</t>
  </si>
  <si>
    <t>8AGEB76D0TR101025</t>
  </si>
  <si>
    <t>UEJ5I40</t>
  </si>
  <si>
    <t>8AGEB76D0TR101072</t>
  </si>
  <si>
    <t>GGF5H81</t>
  </si>
  <si>
    <t>8AGEB76D0TR101509</t>
  </si>
  <si>
    <t>UEX5B75</t>
  </si>
  <si>
    <t>8AGEB76D0TR101541</t>
  </si>
  <si>
    <t>UDT3J75</t>
  </si>
  <si>
    <t>8AGEB76D0TR100048</t>
  </si>
  <si>
    <t>UDH8D13</t>
  </si>
  <si>
    <t>8AGEB76D0TR100684</t>
  </si>
  <si>
    <t>UGG7F76</t>
  </si>
  <si>
    <t>9BGEB76D0TB127058</t>
  </si>
  <si>
    <t>TLW4J64</t>
  </si>
  <si>
    <t>9BGEB76D0TB127163</t>
  </si>
  <si>
    <t>UDI0A24</t>
  </si>
  <si>
    <t>9BGEB76D0TB127205</t>
  </si>
  <si>
    <t>UDJ7J05</t>
  </si>
  <si>
    <t>8AGEB76D0TR101047</t>
  </si>
  <si>
    <t>UED3H37</t>
  </si>
  <si>
    <t>9BGEA48A0TG209926</t>
  </si>
  <si>
    <t>06.224.118/0001-80</t>
  </si>
  <si>
    <t>CONSTRUTORA PADRAO LTDA</t>
  </si>
  <si>
    <t>UDZ3C13</t>
  </si>
  <si>
    <t>3GN7D8RR9SS181251</t>
  </si>
  <si>
    <t>QSW4F48</t>
  </si>
  <si>
    <t>9BGEA48A0TG209915</t>
  </si>
  <si>
    <t>DPF3J21</t>
  </si>
  <si>
    <t>9BGEA48A0TG209851</t>
  </si>
  <si>
    <t>UEX5B24</t>
  </si>
  <si>
    <t>9BGEA48A0TG209812</t>
  </si>
  <si>
    <t>UFU0I26</t>
  </si>
  <si>
    <t>9BGEA48A0TG209722</t>
  </si>
  <si>
    <t>UEN8E38</t>
  </si>
  <si>
    <t>9BGEA48A0TG209611</t>
  </si>
  <si>
    <t>QSP1D91</t>
  </si>
  <si>
    <t>9BGEA48A0TG209576</t>
  </si>
  <si>
    <t>UEY6A72</t>
  </si>
  <si>
    <t>9BGEA48A0TG209760</t>
  </si>
  <si>
    <t>044.831.325-12</t>
  </si>
  <si>
    <t>Bruno Franca de Oliveira</t>
  </si>
  <si>
    <t>UDH0C42</t>
  </si>
  <si>
    <t>3GNKD9RK3RS256782</t>
  </si>
  <si>
    <t>UDQ3I52</t>
  </si>
  <si>
    <t>9BGEA48A0TG209819</t>
  </si>
  <si>
    <t>UDT8C95</t>
  </si>
  <si>
    <t>9BGEA48A0TG212446</t>
  </si>
  <si>
    <t>UDU7J21</t>
  </si>
  <si>
    <t>9BGEA48A0TG212222</t>
  </si>
  <si>
    <t>UGN8H83</t>
  </si>
  <si>
    <t>9BGEA48A0TG209817</t>
  </si>
  <si>
    <t>UDZ4G15</t>
  </si>
  <si>
    <t>9BGEA48A0TG209806</t>
  </si>
  <si>
    <t>UEO2G57</t>
  </si>
  <si>
    <t>9BGEA48A0TG209709</t>
  </si>
  <si>
    <t>05.847.630/0001-10</t>
  </si>
  <si>
    <t>SOMA/SP PRODUTOS HOSPITALARES LTDA</t>
  </si>
  <si>
    <t>UEB4I97</t>
  </si>
  <si>
    <t>9BGEA48A0TG209589</t>
  </si>
  <si>
    <t>UEQ5E28</t>
  </si>
  <si>
    <t>9BGEA48A0TG209701</t>
  </si>
  <si>
    <t>UEA9I92</t>
  </si>
  <si>
    <t>9BGEA48A0TG209617</t>
  </si>
  <si>
    <t>UFH5I43</t>
  </si>
  <si>
    <t>9BGEA48A0TG209781</t>
  </si>
  <si>
    <t>QSW1C67</t>
  </si>
  <si>
    <t>9BGEA48A0TG209919</t>
  </si>
  <si>
    <t>UEW4J08</t>
  </si>
  <si>
    <t>9BGEA48A0TG209807</t>
  </si>
  <si>
    <t>UEB9F61</t>
  </si>
  <si>
    <t>9BGEA48A0TG209735</t>
  </si>
  <si>
    <t>UEV6E15</t>
  </si>
  <si>
    <t>9BGEA48A0TG209661</t>
  </si>
  <si>
    <t>QSO9H86</t>
  </si>
  <si>
    <t>9BGEA48A0TG212159</t>
  </si>
  <si>
    <t>TJG3H45</t>
  </si>
  <si>
    <t>9BGEA48A0TG209829</t>
  </si>
  <si>
    <t>014.487.855-02</t>
  </si>
  <si>
    <t>Adonai Pinheiro Barreto</t>
  </si>
  <si>
    <t>UEI2G46</t>
  </si>
  <si>
    <t>3GNKD9RK1RS264623</t>
  </si>
  <si>
    <t>097.845.538-05</t>
  </si>
  <si>
    <t>Paulo A B Rossi</t>
  </si>
  <si>
    <t>TLQ7D81</t>
  </si>
  <si>
    <t>9BGJP7520TB181335</t>
  </si>
  <si>
    <t>904.940.085-04</t>
  </si>
  <si>
    <t>Clélio Amorim Nobre Guedelha Martins</t>
  </si>
  <si>
    <t>UDL9B95</t>
  </si>
  <si>
    <t>3GNKD9RK7RS272676</t>
  </si>
  <si>
    <t>113.262.387-10</t>
  </si>
  <si>
    <t>BIANCA NICOLI SCARAMUSSA</t>
  </si>
  <si>
    <t>UFG9I51</t>
  </si>
  <si>
    <t>9BGEA48A0TG206949</t>
  </si>
  <si>
    <t>781.543.160-72</t>
  </si>
  <si>
    <t>WAGNER SIQUEIRA NUNES</t>
  </si>
  <si>
    <t>UDH2I96</t>
  </si>
  <si>
    <t>9BGEA48A0TG209003</t>
  </si>
  <si>
    <t>082.931.966-29</t>
  </si>
  <si>
    <t>Hugo Frederico Costa Coelho</t>
  </si>
  <si>
    <t>UDM3C63</t>
  </si>
  <si>
    <t>9BGEA48A0TG210263</t>
  </si>
  <si>
    <t>250.065.868-69</t>
  </si>
  <si>
    <t>VIVIANE CARVALHO OTONI</t>
  </si>
  <si>
    <t>UEN2G81</t>
  </si>
  <si>
    <t>9BGEA48A0TG224181</t>
  </si>
  <si>
    <t>QSV4F45</t>
  </si>
  <si>
    <t>9BGEA48A0TG209772</t>
  </si>
  <si>
    <t>TLQ9G63</t>
  </si>
  <si>
    <t>9BGEA48A0TG211930</t>
  </si>
  <si>
    <t>68.000.538/0003-00</t>
  </si>
  <si>
    <t>IMPACTO SEGURANCA LTDA</t>
  </si>
  <si>
    <t>UED8C36</t>
  </si>
  <si>
    <t>9BGEA48A0TG214053</t>
  </si>
  <si>
    <t>UDQ6B45</t>
  </si>
  <si>
    <t>9BGEA48A0TG214144</t>
  </si>
  <si>
    <t>UGK9D13</t>
  </si>
  <si>
    <t>9BGEA48A0TG214073</t>
  </si>
  <si>
    <t>UEF3D52</t>
  </si>
  <si>
    <t>9BGEA48A0TG214040</t>
  </si>
  <si>
    <t>FXG3G11</t>
  </si>
  <si>
    <t>9BGEA48A0TG214336</t>
  </si>
  <si>
    <t>TLQ9C07</t>
  </si>
  <si>
    <t>9BGEA48A0TG214352</t>
  </si>
  <si>
    <t>UDY7B35</t>
  </si>
  <si>
    <t>9BGEA48A0TG214029</t>
  </si>
  <si>
    <t>TLA1J63</t>
  </si>
  <si>
    <t>9BGEA48A0TG214358</t>
  </si>
  <si>
    <t>UEW3A97</t>
  </si>
  <si>
    <t>9BGEA48A0TG214398</t>
  </si>
  <si>
    <t>UGQ1D56</t>
  </si>
  <si>
    <t>9BGEA48A0TG214305</t>
  </si>
  <si>
    <t>UEW3H65</t>
  </si>
  <si>
    <t>9BGEA48A0TG214262</t>
  </si>
  <si>
    <t>UDD3E94</t>
  </si>
  <si>
    <t>9BGEA48A0TG214393</t>
  </si>
  <si>
    <t>TLU9F23</t>
  </si>
  <si>
    <t>9BGEA48A0TG214382</t>
  </si>
  <si>
    <t>UDM4H82</t>
  </si>
  <si>
    <t>9BGEA48A0TG214350</t>
  </si>
  <si>
    <t>UGH6A41</t>
  </si>
  <si>
    <t>9BGEA48A0TG214357</t>
  </si>
  <si>
    <t>UFR9B78</t>
  </si>
  <si>
    <t>9BGEA48A0TG214245</t>
  </si>
  <si>
    <t>UFW5B17</t>
  </si>
  <si>
    <t>9BGEA48A0TG214162</t>
  </si>
  <si>
    <t>TLW9J06</t>
  </si>
  <si>
    <t>9BGEA48A0TG214264</t>
  </si>
  <si>
    <t>UFT1H25</t>
  </si>
  <si>
    <t>9BGEA48A0TG214056</t>
  </si>
  <si>
    <t>UFK9F04</t>
  </si>
  <si>
    <t>9BGEA48A0TG214284</t>
  </si>
  <si>
    <t>QSZ3J33</t>
  </si>
  <si>
    <t>9BGEA48A0TG214091</t>
  </si>
  <si>
    <t>UDR3A62</t>
  </si>
  <si>
    <t>9BGEA48A0TG214064</t>
  </si>
  <si>
    <t>UFY6E04</t>
  </si>
  <si>
    <t>9BGEA48A0TG214272</t>
  </si>
  <si>
    <t>UEQ8F83</t>
  </si>
  <si>
    <t>9BGEA48A0TG214391</t>
  </si>
  <si>
    <t>FXD6J32</t>
  </si>
  <si>
    <t>9BGEA48A0TG214334</t>
  </si>
  <si>
    <t>UEB4D01</t>
  </si>
  <si>
    <t>9BGEA48A0TG214412</t>
  </si>
  <si>
    <t>UDM7J38</t>
  </si>
  <si>
    <t>9BGEA48A0TG214338</t>
  </si>
  <si>
    <t>TJA7F66</t>
  </si>
  <si>
    <t>9BGEA48A0TG214379</t>
  </si>
  <si>
    <t>CUT0D49</t>
  </si>
  <si>
    <t>9BGEA48A0TG210783</t>
  </si>
  <si>
    <t>UEC0B27</t>
  </si>
  <si>
    <t>9BGEA48A0TG210778</t>
  </si>
  <si>
    <t>SVZ3G35</t>
  </si>
  <si>
    <t>9BGEA48A0TG210780</t>
  </si>
  <si>
    <t>UDN2G03</t>
  </si>
  <si>
    <t>9BGEA48A0TG210782</t>
  </si>
  <si>
    <t>QSZ0F71</t>
  </si>
  <si>
    <t>9BGEA48A0TG210777</t>
  </si>
  <si>
    <t>12.550.241/0001-93</t>
  </si>
  <si>
    <t>INDUSTRIA E COMERCIO DE BEBIDAS JARDIM DAS LARANJEIRAS</t>
  </si>
  <si>
    <t>UFB5E72</t>
  </si>
  <si>
    <t>3GNKD9RK8RS273335</t>
  </si>
  <si>
    <t>12.927.876/0001-67</t>
  </si>
  <si>
    <t>SOMA/MG PRODUTOS HOSPITALARES LTDA</t>
  </si>
  <si>
    <t>UDF1F94</t>
  </si>
  <si>
    <t>9BGEA48A0TG199733</t>
  </si>
  <si>
    <t>QSS9J15</t>
  </si>
  <si>
    <t>9BGEA48A0TG199731</t>
  </si>
  <si>
    <t>UDC4C41</t>
  </si>
  <si>
    <t>9BGEA48A0TG199740</t>
  </si>
  <si>
    <t>UEJ8J33</t>
  </si>
  <si>
    <t>9BGEA48H0TG191773</t>
  </si>
  <si>
    <t>QSW4I34</t>
  </si>
  <si>
    <t>9BGEA48H0TG191776</t>
  </si>
  <si>
    <t>UDT4G55</t>
  </si>
  <si>
    <t>9BGEA48H0TG191780</t>
  </si>
  <si>
    <t>UEV7J52</t>
  </si>
  <si>
    <t>9BGEA48H0TG191763</t>
  </si>
  <si>
    <t>UEZ4D13</t>
  </si>
  <si>
    <t>9BGEA48H0TG191759</t>
  </si>
  <si>
    <t>UEV6J14</t>
  </si>
  <si>
    <t>9BGEA48H0TG191760</t>
  </si>
  <si>
    <t>UDP9E05</t>
  </si>
  <si>
    <t>9BGEA48H0TG191765</t>
  </si>
  <si>
    <t>UFB9H96</t>
  </si>
  <si>
    <t>9BGEA48H0TG191779</t>
  </si>
  <si>
    <t>UEU9C76</t>
  </si>
  <si>
    <t>9BGEA48A0TG212037</t>
  </si>
  <si>
    <t>UEK8E47</t>
  </si>
  <si>
    <t>9BGEA48A0TG212063</t>
  </si>
  <si>
    <t>UEI2D08</t>
  </si>
  <si>
    <t>9BGEA48A0TG212026</t>
  </si>
  <si>
    <t>UEW7A61</t>
  </si>
  <si>
    <t>9BGEA48A0TG211966</t>
  </si>
  <si>
    <t>40.791.980/0001-02</t>
  </si>
  <si>
    <t>COMPRE BEM</t>
  </si>
  <si>
    <t>UFU6C58</t>
  </si>
  <si>
    <t>3GNKD9RK6RS265041</t>
  </si>
  <si>
    <t>05.239.984/0001-81</t>
  </si>
  <si>
    <t>CHEDALGUS</t>
  </si>
  <si>
    <t>TJL6A91</t>
  </si>
  <si>
    <t>9BGEA48A0TG219590</t>
  </si>
  <si>
    <t>UEJ4I25</t>
  </si>
  <si>
    <t>9BGEA48A0TG219597</t>
  </si>
  <si>
    <t>268.423.698-43</t>
  </si>
  <si>
    <t>Eduardo Heneine Gualberto</t>
  </si>
  <si>
    <t>UDC1B75</t>
  </si>
  <si>
    <t>3GNKD9RK6RS263757</t>
  </si>
  <si>
    <t>UDX4B22</t>
  </si>
  <si>
    <t>9BGEA48A0TG219594</t>
  </si>
  <si>
    <t>UET7D84</t>
  </si>
  <si>
    <t>9BGEA48A0TG219600</t>
  </si>
  <si>
    <t>UDC3J01</t>
  </si>
  <si>
    <t>9BGEA48A0TG219591</t>
  </si>
  <si>
    <t>UFL8B32</t>
  </si>
  <si>
    <t>9BGEA48A0TG212231</t>
  </si>
  <si>
    <t>UDG8A98</t>
  </si>
  <si>
    <t>9BGEA48A0TG214267</t>
  </si>
  <si>
    <t>UEJ4B04</t>
  </si>
  <si>
    <t>9BGEA48A0TG214045</t>
  </si>
  <si>
    <t>49.259.570/0001-90</t>
  </si>
  <si>
    <t>Artesania Marketing</t>
  </si>
  <si>
    <t>UDZ4H67</t>
  </si>
  <si>
    <t>3GN7D8RR2SS174769</t>
  </si>
  <si>
    <t>UFK2C21</t>
  </si>
  <si>
    <t>9BGEA48A0TG209630</t>
  </si>
  <si>
    <t>104.753.086-46</t>
  </si>
  <si>
    <t>Eduardo Fernandes Silva Visconti</t>
  </si>
  <si>
    <t>UEE5J83</t>
  </si>
  <si>
    <t>9BGJP7520TB188542</t>
  </si>
  <si>
    <t>08.417.568/0001-14</t>
  </si>
  <si>
    <t>GAGLIARDI DISTRIBUIDORA</t>
  </si>
  <si>
    <t>UEC5G51</t>
  </si>
  <si>
    <t>9BGEA48A0TG209529</t>
  </si>
  <si>
    <t>FWL9G72</t>
  </si>
  <si>
    <t>9BGEA48A0TG209782</t>
  </si>
  <si>
    <t>UDT1J83</t>
  </si>
  <si>
    <t>9BGEA48A0TG209804</t>
  </si>
  <si>
    <t>UDT3A38</t>
  </si>
  <si>
    <t>9BGEA48A0TG209716</t>
  </si>
  <si>
    <t>UDH8F44</t>
  </si>
  <si>
    <t>9BGEA48A0TG209746</t>
  </si>
  <si>
    <t>UDS5A35</t>
  </si>
  <si>
    <t>9BGEA48A0TG209652</t>
  </si>
  <si>
    <t>UEH1I71</t>
  </si>
  <si>
    <t>9BGEA48A0TG209696</t>
  </si>
  <si>
    <t>UET2C63</t>
  </si>
  <si>
    <t>9BGEA48A0TG209853</t>
  </si>
  <si>
    <t>UEI9H33</t>
  </si>
  <si>
    <t>9BGEA48A0TG212203</t>
  </si>
  <si>
    <t>TKC6H54</t>
  </si>
  <si>
    <t>9BGEA48A0TG211947</t>
  </si>
  <si>
    <t>QSX0J37</t>
  </si>
  <si>
    <t>9BGEA48A0TG212553</t>
  </si>
  <si>
    <t>QSX6J21</t>
  </si>
  <si>
    <t>9BGEA48A0TG211693</t>
  </si>
  <si>
    <t>TJY2A43</t>
  </si>
  <si>
    <t>9BGEA48A0TG212316</t>
  </si>
  <si>
    <t>UDN5B47</t>
  </si>
  <si>
    <t>9BGEB76D0TB190737</t>
  </si>
  <si>
    <t>48.719.569/0001-38</t>
  </si>
  <si>
    <t>Morandin Engenharia Ltda</t>
  </si>
  <si>
    <t>UDF6I95</t>
  </si>
  <si>
    <t>9BGEA48A0TG207087</t>
  </si>
  <si>
    <t>919.348.000-82</t>
  </si>
  <si>
    <t>RAFAEL GASPAROTTO DA SILVA</t>
  </si>
  <si>
    <t>UDK6C12</t>
  </si>
  <si>
    <t>9BGEA48A0TG208987</t>
  </si>
  <si>
    <t>180.640.238-66</t>
  </si>
  <si>
    <t>JUÇARA APARECIDA DA SILVA VENDRAMIN</t>
  </si>
  <si>
    <t>UEC9I88</t>
  </si>
  <si>
    <t>9BGEA48A0TG219665</t>
  </si>
  <si>
    <t>TLW4J24</t>
  </si>
  <si>
    <t>9BGEA48A0TG212117</t>
  </si>
  <si>
    <t>UED5G98</t>
  </si>
  <si>
    <t>9BGEA48A0TG212247</t>
  </si>
  <si>
    <t>UDK7A26</t>
  </si>
  <si>
    <t>9BGEA48A0TG212439</t>
  </si>
  <si>
    <t>UFH9H07</t>
  </si>
  <si>
    <t>9BGEA48A0TG212295</t>
  </si>
  <si>
    <t>UEK3J67</t>
  </si>
  <si>
    <t>8AGEB76D0TR100070</t>
  </si>
  <si>
    <t>TKG4F32</t>
  </si>
  <si>
    <t>8AGEB76D0TR100495</t>
  </si>
  <si>
    <t>EXN4F81</t>
  </si>
  <si>
    <t>8AGEB76D0TR100496</t>
  </si>
  <si>
    <t>UDY1G97</t>
  </si>
  <si>
    <t>8AGEB76D0TR101024</t>
  </si>
  <si>
    <t>TIV2F91</t>
  </si>
  <si>
    <t>8AGEB76D0TR101071</t>
  </si>
  <si>
    <t>UDF2A17</t>
  </si>
  <si>
    <t>8AGEB76D0TR101079</t>
  </si>
  <si>
    <t>UFL6E04</t>
  </si>
  <si>
    <t>8AGEB76D0TR101517</t>
  </si>
  <si>
    <t>TIO5J76</t>
  </si>
  <si>
    <t>8AGEB76D0TR101551</t>
  </si>
  <si>
    <t>QST3J62</t>
  </si>
  <si>
    <t>8AGEB76D0TR101589</t>
  </si>
  <si>
    <t>QSO0E12</t>
  </si>
  <si>
    <t>9BGEB76D0TB127264</t>
  </si>
  <si>
    <t>UDX1I07</t>
  </si>
  <si>
    <t>9BGEB76D0TB127337</t>
  </si>
  <si>
    <t>UDY9E72</t>
  </si>
  <si>
    <t>9BGEB76D0TB126850</t>
  </si>
  <si>
    <t>UDN2F63</t>
  </si>
  <si>
    <t>9BGEB76D0TB127005</t>
  </si>
  <si>
    <t>UDA4J21</t>
  </si>
  <si>
    <t>9BGEB76D0TB127180</t>
  </si>
  <si>
    <t>UFN0C60</t>
  </si>
  <si>
    <t>9BGEB76D0TB127069</t>
  </si>
  <si>
    <t>UDZ6E85</t>
  </si>
  <si>
    <t>9BGEB76D0TB127038</t>
  </si>
  <si>
    <t>UDN4C61</t>
  </si>
  <si>
    <t>9BGEB76D0TB127288</t>
  </si>
  <si>
    <t>UED4B95</t>
  </si>
  <si>
    <t>9BGEB76D0TB126829</t>
  </si>
  <si>
    <t>UDG5D03</t>
  </si>
  <si>
    <t>9BGEB76D0TB126901</t>
  </si>
  <si>
    <t>UDO9C89</t>
  </si>
  <si>
    <t>9BGEB76D0TB126976</t>
  </si>
  <si>
    <t>UDW8D54</t>
  </si>
  <si>
    <t>9BGEB76D0TB127048</t>
  </si>
  <si>
    <t>QSR1H15</t>
  </si>
  <si>
    <t>9BGEB76D0TB127161</t>
  </si>
  <si>
    <t>UEO4J06</t>
  </si>
  <si>
    <t>9BGEB76D0TB127300</t>
  </si>
  <si>
    <t>UES5I26</t>
  </si>
  <si>
    <t>9BGEA48H0TG205946</t>
  </si>
  <si>
    <t>UDJ0A93</t>
  </si>
  <si>
    <t>9BGEA48A0TG219595</t>
  </si>
  <si>
    <t>UFJ8E12</t>
  </si>
  <si>
    <t>9BGEA48A0TG209671</t>
  </si>
  <si>
    <t>UDW4J38</t>
  </si>
  <si>
    <t>9BGEA48A0TG191013</t>
  </si>
  <si>
    <t>QSY2H22</t>
  </si>
  <si>
    <t>9BGEA48A0TG212191</t>
  </si>
  <si>
    <t>UEE8C97</t>
  </si>
  <si>
    <t>9BGEA48A0TG211787</t>
  </si>
  <si>
    <t>UEO9F88</t>
  </si>
  <si>
    <t>9BGEA48A0TG211759</t>
  </si>
  <si>
    <t>UDW2D09</t>
  </si>
  <si>
    <t>9BGEA48A0TG212351</t>
  </si>
  <si>
    <t>QSP8D61</t>
  </si>
  <si>
    <t>9BGEA48A0TG212560</t>
  </si>
  <si>
    <t>QSQ2I96</t>
  </si>
  <si>
    <t>9BGEA48A0TG209705</t>
  </si>
  <si>
    <t>UDP5D83</t>
  </si>
  <si>
    <t>9BGEA69H0TG199485</t>
  </si>
  <si>
    <t>5A69HTR8B</t>
  </si>
  <si>
    <t>ONIX SEDAN PLUS 1.0 12V TURBO FLEX AUT. MY26</t>
  </si>
  <si>
    <t>004499-7</t>
  </si>
  <si>
    <t>UDI8F99</t>
  </si>
  <si>
    <t>9BGEA48A0TG212479</t>
  </si>
  <si>
    <t>UGJ1B31</t>
  </si>
  <si>
    <t>9BGEA48A0TG212456</t>
  </si>
  <si>
    <t>UED8J42</t>
  </si>
  <si>
    <t>9BGEA48A0TG211905</t>
  </si>
  <si>
    <t>UDW3B44</t>
  </si>
  <si>
    <t>9BGEA48A0TG209741</t>
  </si>
  <si>
    <t>UEY2F53</t>
  </si>
  <si>
    <t>9BGEA48A0TG209619</t>
  </si>
  <si>
    <t>UES1F94</t>
  </si>
  <si>
    <t>9BGEA48A0TG209549</t>
  </si>
  <si>
    <t>UEH5H13</t>
  </si>
  <si>
    <t>9BGEA48A0TG199737</t>
  </si>
  <si>
    <t>48.724.106/0001-64</t>
  </si>
  <si>
    <t>R VALACIO SERVICOS LTDA</t>
  </si>
  <si>
    <t>UEV7J41</t>
  </si>
  <si>
    <t>9BGEB48H0TG195445</t>
  </si>
  <si>
    <t>UEG5I93</t>
  </si>
  <si>
    <t>9BGEA48A0TG209523</t>
  </si>
  <si>
    <t>UDB3I66</t>
  </si>
  <si>
    <t>9BGEA48A0TG211855</t>
  </si>
  <si>
    <t>UEJ4J28</t>
  </si>
  <si>
    <t>9BGEA48A0TG212482</t>
  </si>
  <si>
    <t>UFY1C73</t>
  </si>
  <si>
    <t>9BGEA48A0TG211874</t>
  </si>
  <si>
    <t>UEO4D45</t>
  </si>
  <si>
    <t>9BGEA48A0TG211850</t>
  </si>
  <si>
    <t>UGD9I46</t>
  </si>
  <si>
    <t>9BGEA48A0TG211798</t>
  </si>
  <si>
    <t>UDW5C26</t>
  </si>
  <si>
    <t>9BGEA48A0TG219592</t>
  </si>
  <si>
    <t>UEI7C67</t>
  </si>
  <si>
    <t>9BGEA48A0TG219596</t>
  </si>
  <si>
    <t>UER4A18</t>
  </si>
  <si>
    <t>9BGEA48A0TG219599</t>
  </si>
  <si>
    <t>162.796.558-06</t>
  </si>
  <si>
    <t>Manoel Rama Neto</t>
  </si>
  <si>
    <t>UDN2C97</t>
  </si>
  <si>
    <t>9BGJP7520TB202495</t>
  </si>
  <si>
    <t>125.808.358-22</t>
  </si>
  <si>
    <t>Claudio Almeida Prado</t>
  </si>
  <si>
    <t>UDP5F69</t>
  </si>
  <si>
    <t>3GNKD9RK8RS264358</t>
  </si>
  <si>
    <t>UEK0B76</t>
  </si>
  <si>
    <t>9BGEA48A0TG209921</t>
  </si>
  <si>
    <t>UFF9G42</t>
  </si>
  <si>
    <t>9BGEA48A0TG199738</t>
  </si>
  <si>
    <t>UDM3B73</t>
  </si>
  <si>
    <t>9BGEA48A0TG209655</t>
  </si>
  <si>
    <t>UFK0H58</t>
  </si>
  <si>
    <t>9BGEB48H0TG199947</t>
  </si>
  <si>
    <t>23.751.598/0001-56</t>
  </si>
  <si>
    <t>DNAGRO DO BRASIL LTDA</t>
  </si>
  <si>
    <t>UEI0F57</t>
  </si>
  <si>
    <t>9BGEA43T0TB190363</t>
  </si>
  <si>
    <t>UEK3C98</t>
  </si>
  <si>
    <t>9BGEA48A0TG209834</t>
  </si>
  <si>
    <t>UEP1F51</t>
  </si>
  <si>
    <t>9BGEA48A0TG211574</t>
  </si>
  <si>
    <t>UDD0H14</t>
  </si>
  <si>
    <t>9BGEA48A0TG211839</t>
  </si>
  <si>
    <t>UDQ4D66</t>
  </si>
  <si>
    <t>9BGEA48A0TG212220</t>
  </si>
  <si>
    <t>UEI8J47</t>
  </si>
  <si>
    <t>9BGEA48A0TG212536</t>
  </si>
  <si>
    <t>UDQ5G45</t>
  </si>
  <si>
    <t>9BGEB48H0TG194577</t>
  </si>
  <si>
    <t>05.139.535/0001-61</t>
  </si>
  <si>
    <t>IQONY SOLUTIONS DO BRASIL LTDA</t>
  </si>
  <si>
    <t>UDG4E94</t>
  </si>
  <si>
    <t>9BGEA48A0TG211730</t>
  </si>
  <si>
    <t>QSW8F75</t>
  </si>
  <si>
    <t>9BGEA48A0TG211739</t>
  </si>
  <si>
    <t>QSS0G01</t>
  </si>
  <si>
    <t>9BG1481K0TC436052</t>
  </si>
  <si>
    <t>UDG0D82</t>
  </si>
  <si>
    <t>9BG1481K0TC436073</t>
  </si>
  <si>
    <t>101.466.138-21</t>
  </si>
  <si>
    <t>Joao Luis Haidamus Boldrini</t>
  </si>
  <si>
    <t>QSU8I17</t>
  </si>
  <si>
    <t>3GNKD9RK8RS273402</t>
  </si>
  <si>
    <t>144.077.738-12</t>
  </si>
  <si>
    <t>RICARDO MORENO GLÓRIA</t>
  </si>
  <si>
    <t>UDE0I31</t>
  </si>
  <si>
    <t>9BGJP7520TB202456</t>
  </si>
  <si>
    <t>UDZ0A63</t>
  </si>
  <si>
    <t>9BGEA48A0TG212167</t>
  </si>
  <si>
    <t>UDF2G55</t>
  </si>
  <si>
    <t>9BGEA48A0TG212097</t>
  </si>
  <si>
    <t>00.982.872/0001-00</t>
  </si>
  <si>
    <t>AUTUS COMERCIAL DISTRIBUIDORA LTDA</t>
  </si>
  <si>
    <t>UEJ9I43</t>
  </si>
  <si>
    <t>3GNKD9RK3RS272125</t>
  </si>
  <si>
    <t>02.307.513/0001-75</t>
  </si>
  <si>
    <t>EPLAN BRASIL LTDA</t>
  </si>
  <si>
    <t>TJX5I25</t>
  </si>
  <si>
    <t>3GN7D8RR7SS174802</t>
  </si>
  <si>
    <t>25.043.386/0001-40</t>
  </si>
  <si>
    <t>ONIX 1.0 FLEX BASE TURBO AT - Azul Boreal</t>
  </si>
  <si>
    <t>EQUINOX EV - Branco Summit</t>
  </si>
  <si>
    <t>S10 CD DIESEL LTZ 4X4 AT - Branco Summit</t>
  </si>
  <si>
    <t>TRACKER 1.2 TURBO PREMIER (AT) - Azul Boreal</t>
  </si>
  <si>
    <t>ONIX HB LS 1.0 MT 5 LUGARES - Branco Summit</t>
  </si>
  <si>
    <t>EQUINOX EV RS - Preto Global</t>
  </si>
  <si>
    <t>Blazer EV RS - Preto Global</t>
  </si>
  <si>
    <t>TRACKER LT 1.0 AT 5 LUGARES - Branco Summit</t>
  </si>
  <si>
    <t>TRACKER LT 1.0 ROS AT 5 LUGARES - Branco Summit</t>
  </si>
  <si>
    <t>ONIX HB 1.0 MT 5 LUGARES - Branco Summit</t>
  </si>
  <si>
    <t>SPIN PREMIER 1.8 AT 7 LUGARES - Cinza Rush</t>
  </si>
  <si>
    <t>ONIX HB 1.0 MT 5 LUGARES - Cinza Drake</t>
  </si>
  <si>
    <t>ONIX HB 1.0 MT 5 LUGARES - Azul Boreal</t>
  </si>
  <si>
    <t>ONIX HB 1.0 MT 5 LUGARES - Prata Shark</t>
  </si>
  <si>
    <t>ONIX HB 1.0 MT 5 LUGARES - Preto Ouro Negro</t>
  </si>
  <si>
    <t>ONIX HB 1.0 AT 5 LUGARES - Azul Boreal</t>
  </si>
  <si>
    <t>EQUINOX EV RS - Branco Summit</t>
  </si>
  <si>
    <t>SPIN PREMIER 1.8 AT 7 LUGARES - Azul Boreal</t>
  </si>
  <si>
    <t>TRACKER LT 1.0 AT 5 LUGARES - Cinza Rush</t>
  </si>
  <si>
    <t>ONIX HB LT 1.0 MT 5 LUGARES - Preto Ouro Negro</t>
  </si>
  <si>
    <t>ONIX PLUS 1.0 AT 5 LUGARES - Branco Summit</t>
  </si>
  <si>
    <t>ONIX HB LT 1.0 AT 5 LUGARES - Cinza Drake</t>
  </si>
  <si>
    <t>Equinox EV RS - Prata Shark</t>
  </si>
  <si>
    <t>Padrão (100%) com blindagem - 300k - Contrato 2025</t>
  </si>
  <si>
    <t>ONIX HB LT 1.0 AT 5 LUGARES - Branco Summit</t>
  </si>
  <si>
    <t>MONTANA LS 1.2 MT 5 LUGARES - Branco Summit</t>
  </si>
  <si>
    <t>ONIX HB LT 1.0 AT 5 LUGARES - Prata Shark</t>
  </si>
  <si>
    <t>S10 WT CABINE DUPLA 2.8  MT 5 LUGARES - Branco Summit</t>
  </si>
  <si>
    <t>28/01/2026</t>
  </si>
  <si>
    <t>13/02/2026</t>
  </si>
  <si>
    <t>09/02/2026</t>
  </si>
  <si>
    <t>11/02/2026</t>
  </si>
  <si>
    <t>10/02/2026</t>
  </si>
  <si>
    <t>12/02/2026</t>
  </si>
  <si>
    <t>19/02/2026</t>
  </si>
  <si>
    <t>27/02/2026</t>
  </si>
  <si>
    <t>02/03/2026</t>
  </si>
  <si>
    <t>25/03/2026</t>
  </si>
  <si>
    <t>26/02/2026</t>
  </si>
  <si>
    <t>19/03/2026</t>
  </si>
  <si>
    <t>14/03/2026</t>
  </si>
  <si>
    <t>31/12/2025</t>
  </si>
  <si>
    <t>25/02/2026</t>
  </si>
  <si>
    <t>20/04/2026</t>
  </si>
  <si>
    <t>10/12/2025</t>
  </si>
  <si>
    <t>23/01/2026</t>
  </si>
  <si>
    <t>18/02/2026</t>
  </si>
  <si>
    <t>06/03/2026</t>
  </si>
  <si>
    <t>08/03/2026</t>
  </si>
  <si>
    <t>30/03/2026</t>
  </si>
  <si>
    <t>FRANQUIA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</si>
</sst>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"/>
  </numFmts>
  <fonts count="10" x14ac:knownFonts="1">
    <font>
      <sz val="11"/>
      <name val="Calibri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00000B"/>
      <name val="Calibri"/>
      <family val="2"/>
    </font>
    <font>
      <b/>
      <sz val="11"/>
      <color rgb="FF00000B"/>
      <name val="Calibri"/>
      <family val="2"/>
    </font>
    <font>
      <sz val="11"/>
      <color theme="1"/>
      <name val="Calibri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9">
    <xf numFmtId="0" fontId="0" fillId="0" borderId="0" xfId="0"/>
    <xf numFmtId="14" fontId="1" fillId="3" borderId="0" xfId="0" applyNumberFormat="1" applyFont="1" applyFill="1" applyAlignment="1">
      <alignment horizontal="center"/>
    </xf>
    <xf numFmtId="44" fontId="1" fillId="4" borderId="0" xfId="1" applyFont="1" applyFill="1" applyAlignment="1">
      <alignment horizontal="center"/>
    </xf>
    <xf numFmtId="44" fontId="1" fillId="4" borderId="0" xfId="1" applyFont="1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44" fontId="3" fillId="4" borderId="0" xfId="1" applyFont="1" applyFill="1"/>
    <xf numFmtId="164" fontId="0" fillId="0" borderId="0" xfId="0" applyNumberFormat="1"/>
    <xf numFmtId="14" fontId="0" fillId="0" borderId="0" xfId="0" applyNumberFormat="1" applyAlignment="1">
      <alignment horizontal="center"/>
    </xf>
    <xf numFmtId="44" fontId="0" fillId="0" borderId="0" xfId="1" applyFont="1"/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7" fillId="0" borderId="0" xfId="0" applyFont="1"/>
    <xf numFmtId="44" fontId="0" fillId="0" borderId="0" xfId="0" applyNumberFormat="1"/>
    <xf numFmtId="44" fontId="4" fillId="2" borderId="0" xfId="1" applyFont="1" applyFill="1" applyAlignment="1">
      <alignment horizontal="center"/>
    </xf>
    <xf numFmtId="0" fontId="0" fillId="3" borderId="0" xfId="0" applyFill="1"/>
    <xf numFmtId="44" fontId="1" fillId="3" borderId="0" xfId="1" applyFont="1" applyFill="1"/>
    <xf numFmtId="0" fontId="1" fillId="3" borderId="0" xfId="0" applyFont="1" applyFill="1" applyAlignment="1">
      <alignment horizontal="center"/>
    </xf>
    <xf numFmtId="0" fontId="8" fillId="5" borderId="6" xfId="0" applyFont="1" applyFill="1" applyBorder="1"/>
    <xf numFmtId="0" fontId="8" fillId="0" borderId="6" xfId="0" applyFont="1" applyBorder="1"/>
    <xf numFmtId="164" fontId="8" fillId="5" borderId="6" xfId="0" applyNumberFormat="1" applyFont="1" applyFill="1" applyBorder="1"/>
    <xf numFmtId="164" fontId="8" fillId="0" borderId="6" xfId="0" applyNumberFormat="1" applyFont="1" applyBorder="1"/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4" fontId="1" fillId="3" borderId="0" xfId="1" applyFont="1" applyFill="1" applyAlignment="1">
      <alignment horizontal="center" wrapText="1"/>
    </xf>
    <xf numFmtId="14" fontId="5" fillId="3" borderId="1" xfId="0" applyNumberFormat="1" applyFont="1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14" fontId="5" fillId="3" borderId="2" xfId="0" applyNumberFormat="1" applyFont="1" applyFill="1" applyBorder="1" applyAlignment="1">
      <alignment horizontal="center"/>
    </xf>
    <xf numFmtId="44" fontId="1" fillId="6" borderId="0" xfId="1" applyFont="1" applyFill="1"/>
    <xf numFmtId="0" fontId="1" fillId="6" borderId="0" xfId="0" applyFont="1" applyFill="1" applyAlignment="1">
      <alignment horizontal="center" wrapText="1"/>
    </xf>
    <xf numFmtId="44" fontId="3" fillId="6" borderId="0" xfId="0" applyNumberFormat="1" applyFont="1" applyFill="1"/>
    <xf numFmtId="0" fontId="0" fillId="6" borderId="0" xfId="0" applyFill="1"/>
    <xf numFmtId="44" fontId="3" fillId="3" borderId="0" xfId="1" applyFont="1" applyFill="1"/>
    <xf numFmtId="14" fontId="3" fillId="0" borderId="0" xfId="0" applyNumberFormat="1" applyFont="1" applyAlignment="1">
      <alignment horizontal="center"/>
    </xf>
    <xf numFmtId="44" fontId="3" fillId="0" borderId="0" xfId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  <xf numFmtId="164" fontId="8" fillId="0" borderId="0" xfId="0" applyNumberFormat="1" applyFont="1"/>
    <xf numFmtId="0" fontId="8" fillId="0" borderId="0" xfId="0" applyFont="1"/>
    <xf numFmtId="14" fontId="5" fillId="0" borderId="3" xfId="0" applyNumberFormat="1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</cellXfs>
  <cellStyles count="4">
    <cellStyle name="Currency" xfId="1" builtinId="4"/>
    <cellStyle name="Moeda 2" xfId="2" xr:uid="{B6C76563-8CFD-4999-8BEF-6C50F8859FFF}"/>
    <cellStyle name="Normal" xfId="0" builtinId="0"/>
    <cellStyle name="Vírgula 2" xfId="3" xr:uid="{B60F9A55-95A3-4577-8235-F3046713FFB9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dd/mm/yy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dd/mm/yy"/>
    </dxf>
    <dxf>
      <numFmt numFmtId="164" formatCode="dd/mm/yy"/>
    </dxf>
    <dxf>
      <numFmt numFmtId="164" formatCode="dd/mm/yy"/>
    </dxf>
    <dxf>
      <numFmt numFmtId="164" formatCode="dd/mm/yy"/>
    </dxf>
    <dxf>
      <fill>
        <patternFill patternType="solid">
          <fgColor indexed="64"/>
          <bgColor rgb="FF92D05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B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es, Tais" id="{EB02E8AB-5266-4A7C-8724-ABBE2F19DD5F}" userId="S::tais.fernandes@gmfinancial.com::7374f3be-fe6f-4288-9e2a-217dc1930128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0F252-7205-4F22-8B60-E735ECF8CAB0}" name="Tabela1" displayName="Tabela1" ref="A2:AR33" totalsRowShown="0" headerRowDxfId="10">
  <autoFilter ref="A2:AR33" xr:uid="{31ECA86D-21D9-4791-A3D7-4611A43B23D6}"/>
  <tableColumns count="44">
    <tableColumn id="1" xr3:uid="{9E413832-6EDF-41F0-8399-8640C037CF11}" name="Dev Prêmio" dataDxfId="9"/>
    <tableColumn id="2" xr3:uid="{792F1CAC-C9E8-43D2-A6AD-4641DAC94C4A}" name="Endosso"/>
    <tableColumn id="3" xr3:uid="{9EE7FE50-97FE-452B-A511-03D6636535B6}" name="Data Endosso" dataDxfId="8"/>
    <tableColumn id="4" xr3:uid="{A00AEBCF-A4AB-4D54-9AF0-F302AB6DB989}" name="Item da Apólice"/>
    <tableColumn id="5" xr3:uid="{C0A2D7DE-7994-4369-AC08-684C2DDFCDA2}" name="N° Apólice Seguradora"/>
    <tableColumn id="7" xr3:uid="{9BED1810-625E-474D-8ED1-3FDC4CECB818}" name="Seguradora"/>
    <tableColumn id="8" xr3:uid="{8A904440-59DF-4205-8FFC-DA6A60EB735E}" name="Corretora"/>
    <tableColumn id="9" xr3:uid="{B7B89C17-4426-4818-BEF2-58562B0C2337}" name="Início da Vigência"/>
    <tableColumn id="10" xr3:uid="{90CC3E91-2679-427C-871B-883593FBF001}" name="Final da Vigência"/>
    <tableColumn id="11" xr3:uid="{3B07155C-6694-4FAD-94D6-F165F126E557}" name="Data Apólice"/>
    <tableColumn id="12" xr3:uid="{EABE0D8A-F053-4F32-97D5-02E550289F14}" name="Cnpj Cliente"/>
    <tableColumn id="13" xr3:uid="{13CF5312-3213-4E88-86B5-644CCF144AB2}" name="Cliente" dataDxfId="7"/>
    <tableColumn id="14" xr3:uid="{CCA39275-C8FE-459D-8213-ABC03308A30C}" name="Placa" dataDxfId="6"/>
    <tableColumn id="15" xr3:uid="{EE868F57-39F8-483E-91B1-92BFD8D69087}" name="Placa Substituição" dataDxfId="5"/>
    <tableColumn id="16" xr3:uid="{97BB529B-ABC8-4703-AB04-D9F555A962F1}" name="Chassi" dataDxfId="4"/>
    <tableColumn id="17" xr3:uid="{ABEC24D6-9B6E-4554-90C6-FDA4F373E2DD}" name="Montadora"/>
    <tableColumn id="18" xr3:uid="{84C92D11-2D80-4AD7-B746-00B9E9DD249F}" name="Fabricante"/>
    <tableColumn id="19" xr3:uid="{6E489FDF-E3B1-42AA-BD9E-1783E08F866E}" name="Modelo"/>
    <tableColumn id="20" xr3:uid="{BDA3743B-5388-40B3-ACEB-E802E8395F5D}" name="Ano Fabricação"/>
    <tableColumn id="21" xr3:uid="{D09F02CE-4EBB-4C62-BF34-71BCCC832E53}" name="Ano Modelo"/>
    <tableColumn id="22" xr3:uid="{EB35F20D-6459-4863-89A2-5C21429024AD}" name="Fipe"/>
    <tableColumn id="23" xr3:uid="{674A1B41-4ACD-4D9B-A9C2-F6517015DE5E}" name="Percentual Fipe"/>
    <tableColumn id="33" xr3:uid="{C8CAC33D-07FC-4496-A3DF-7525AA726AB3}" name="Valor Fipe Veículo"/>
    <tableColumn id="34" xr3:uid="{2F320C98-A8B2-4708-A24D-632F2BB74568}" name="Valor Casco"/>
    <tableColumn id="35" xr3:uid="{C3B217D7-05AA-4B67-882D-661401DCC9F7}" name="Valor Franquia"/>
    <tableColumn id="36" xr3:uid="{FC9E0005-3323-405D-BC9A-19D4A8A5FFC9}" name="Valor Desconto Franquia"/>
    <tableColumn id="37" xr3:uid="{BC81DDE1-EF7A-48AE-886D-AE5C2A6A753F}" name="Valor RCF"/>
    <tableColumn id="38" xr3:uid="{8E8472D1-125C-482C-BA24-A37E10F39067}" name="Valor Danos Materiais"/>
    <tableColumn id="39" xr3:uid="{29E7CEED-0DC6-48DF-BD4B-DAE10F5ED40C}" name="Valor Danos Morais"/>
    <tableColumn id="40" xr3:uid="{DE8FC9AE-01CB-4099-97EF-030DAC2C1570}" name="Valor Danos Corporais"/>
    <tableColumn id="41" xr3:uid="{B7284C4C-5E04-48D0-9248-870DA329CD70}" name="Valor App Morte"/>
    <tableColumn id="42" xr3:uid="{EEAF346A-889D-4476-8D8B-A46C7B046E6F}" name="Valor App Invalidez"/>
    <tableColumn id="43" xr3:uid="{7A01BB39-1BE8-4D36-939C-E360B2E4825F}" name="Premio Casco"/>
    <tableColumn id="44" xr3:uid="{9D039511-F5EE-46F3-8D84-7F80EB617C74}" name="Premio RCF"/>
    <tableColumn id="45" xr3:uid="{15FFA63F-AA07-4B71-833C-8A020BBD47F3}" name="Prêmio Danos Materiais"/>
    <tableColumn id="46" xr3:uid="{936BD65D-ACDB-4638-9D7A-E1CFD704921A}" name="Prêmio Danos Morais"/>
    <tableColumn id="47" xr3:uid="{D5900653-2E71-400B-AB06-BE6EE481BD26}" name="Prêmio Danos Corporais"/>
    <tableColumn id="48" xr3:uid="{EA249F81-0787-424A-8906-905CDE4210D5}" name="Prêmio App Morte"/>
    <tableColumn id="49" xr3:uid="{D2F70341-235C-4E29-9C01-94DE206BAEEE}" name="Prêmio App Invalidez"/>
    <tableColumn id="50" xr3:uid="{943DB20F-6D5A-4B6D-BAF5-EF22C40A62BF}" name="Início Vigência (Item)"/>
    <tableColumn id="51" xr3:uid="{2CB48F5E-48A7-427F-BC8F-58E79CF1D407}" name="Final Vigência (Item)" dataDxfId="3"/>
    <tableColumn id="52" xr3:uid="{96D11811-7382-4BA3-939D-26DE9E15552A}" name="Custo Emissão"/>
    <tableColumn id="53" xr3:uid="{3C35BA21-AE33-4B03-A082-444BC2834503}" name="Tipo Cobertura"/>
    <tableColumn id="6" xr3:uid="{6E563A47-C56E-47FD-8217-BD4138AB4C08}" name="Região do Segu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Y2" dT="2025-05-15T18:08:16.25" personId="{EB02E8AB-5266-4A7C-8724-ABBE2F19DD5F}" id="{255340CF-89B3-4B18-A7F8-E9486D827E13}">
    <text>Preencher após receber a cotação validada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4589-9DD9-4766-BE28-4E5BFF2BD14B}">
  <sheetPr>
    <tabColor rgb="FF92D050"/>
  </sheetPr>
  <dimension ref="A1:BA279"/>
  <sheetViews>
    <sheetView tabSelected="1" topLeftCell="D1" zoomScale="70" zoomScaleNormal="70" workbookViewId="0">
      <pane ySplit="2" topLeftCell="A3" activePane="bottomLeft" state="frozen"/>
      <selection activeCell="AK1" sqref="AK1"/>
      <selection pane="bottomLeft" activeCell="AZ3" sqref="AZ3"/>
    </sheetView>
  </sheetViews>
  <sheetFormatPr defaultColWidth="14.77734375" defaultRowHeight="14.4" x14ac:dyDescent="0.3"/>
  <cols>
    <col min="1" max="1" width="11.21875" hidden="1" customWidth="1"/>
    <col min="2" max="2" width="10.5546875" style="10" hidden="1" customWidth="1"/>
    <col min="3" max="3" width="2.6640625" style="4" hidden="1" customWidth="1"/>
    <col min="4" max="4" width="22.33203125" customWidth="1"/>
    <col min="5" max="6" width="14.77734375" style="4"/>
    <col min="7" max="8" width="0" style="4" hidden="1" customWidth="1"/>
    <col min="9" max="9" width="14.77734375" hidden="1" customWidth="1"/>
    <col min="11" max="11" width="65" bestFit="1" customWidth="1"/>
    <col min="14" max="14" width="20.88671875" bestFit="1" customWidth="1"/>
    <col min="18" max="18" width="14.77734375" hidden="1" customWidth="1"/>
    <col min="24" max="25" width="14.77734375" hidden="1" customWidth="1"/>
    <col min="32" max="38" width="14.77734375" hidden="1" customWidth="1"/>
    <col min="39" max="39" width="27.88671875" bestFit="1" customWidth="1"/>
    <col min="40" max="40" width="24.21875" bestFit="1" customWidth="1"/>
    <col min="41" max="43" width="14.77734375" hidden="1" customWidth="1"/>
    <col min="45" max="45" width="14.77734375" style="18"/>
    <col min="46" max="48" width="14.77734375" style="42"/>
    <col min="49" max="49" width="14.77734375" style="43"/>
    <col min="50" max="50" width="14.77734375" style="42"/>
    <col min="51" max="51" width="14.77734375" style="37"/>
    <col min="52" max="52" width="21.21875" customWidth="1"/>
  </cols>
  <sheetData>
    <row r="1" spans="1:53" ht="16.2" thickBot="1" x14ac:dyDescent="0.35">
      <c r="A1" s="7" t="s">
        <v>0</v>
      </c>
      <c r="L1" s="4"/>
      <c r="W1" s="11"/>
      <c r="Z1" s="11"/>
      <c r="AM1" s="5" t="s">
        <v>80</v>
      </c>
      <c r="AN1" s="10"/>
      <c r="AR1" s="3">
        <f>SUM(AR3:AR1048576)</f>
        <v>716491.49000000034</v>
      </c>
      <c r="AS1" s="19">
        <f>SUM(AS3:AS1048576)</f>
        <v>538557.9933733982</v>
      </c>
      <c r="AT1" s="5" t="s">
        <v>78</v>
      </c>
      <c r="AU1" s="46" t="s">
        <v>47</v>
      </c>
      <c r="AV1" s="47"/>
      <c r="AW1" s="47"/>
      <c r="AX1" s="48"/>
      <c r="AY1" s="34">
        <f>SUM(AY3:AY1048576)</f>
        <v>538557.43177599995</v>
      </c>
      <c r="AZ1" s="34">
        <f>AS1-AY1</f>
        <v>0.56159739824943244</v>
      </c>
    </row>
    <row r="2" spans="1:53" s="4" customFormat="1" ht="58.2" thickBot="1" x14ac:dyDescent="0.35">
      <c r="A2" s="13" t="s">
        <v>1</v>
      </c>
      <c r="B2" s="14" t="s">
        <v>2</v>
      </c>
      <c r="C2" s="13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3" t="s">
        <v>9</v>
      </c>
      <c r="J2" s="28" t="s">
        <v>10</v>
      </c>
      <c r="K2" s="28" t="s">
        <v>11</v>
      </c>
      <c r="L2" s="29" t="s">
        <v>12</v>
      </c>
      <c r="M2" s="29" t="s">
        <v>13</v>
      </c>
      <c r="N2" s="29" t="s">
        <v>14</v>
      </c>
      <c r="O2" s="29" t="s">
        <v>15</v>
      </c>
      <c r="P2" s="29" t="s">
        <v>16</v>
      </c>
      <c r="Q2" s="29" t="s">
        <v>17</v>
      </c>
      <c r="R2" s="13" t="s">
        <v>18</v>
      </c>
      <c r="S2" s="29" t="s">
        <v>19</v>
      </c>
      <c r="T2" s="29" t="s">
        <v>20</v>
      </c>
      <c r="U2" s="29" t="s">
        <v>21</v>
      </c>
      <c r="V2" s="29" t="s">
        <v>22</v>
      </c>
      <c r="W2" s="17" t="s">
        <v>23</v>
      </c>
      <c r="X2" s="13" t="s">
        <v>24</v>
      </c>
      <c r="Y2" s="13" t="s">
        <v>25</v>
      </c>
      <c r="Z2" s="17" t="s">
        <v>26</v>
      </c>
      <c r="AA2" s="29" t="s">
        <v>27</v>
      </c>
      <c r="AB2" s="29" t="s">
        <v>28</v>
      </c>
      <c r="AC2" s="29" t="s">
        <v>29</v>
      </c>
      <c r="AD2" s="29" t="s">
        <v>30</v>
      </c>
      <c r="AE2" s="29" t="s">
        <v>31</v>
      </c>
      <c r="AF2" s="13" t="s">
        <v>32</v>
      </c>
      <c r="AG2" s="13" t="s">
        <v>33</v>
      </c>
      <c r="AH2" s="13" t="s">
        <v>34</v>
      </c>
      <c r="AI2" s="13" t="s">
        <v>35</v>
      </c>
      <c r="AJ2" s="13" t="s">
        <v>36</v>
      </c>
      <c r="AK2" s="13" t="s">
        <v>37</v>
      </c>
      <c r="AL2" s="13" t="s">
        <v>38</v>
      </c>
      <c r="AM2" s="1" t="s">
        <v>39</v>
      </c>
      <c r="AN2" s="1" t="s">
        <v>40</v>
      </c>
      <c r="AO2" s="13" t="s">
        <v>41</v>
      </c>
      <c r="AP2" s="13" t="s">
        <v>42</v>
      </c>
      <c r="AQ2" s="13" t="s">
        <v>43</v>
      </c>
      <c r="AR2" s="2" t="s">
        <v>44</v>
      </c>
      <c r="AS2" s="30" t="s">
        <v>82</v>
      </c>
      <c r="AT2" s="1" t="s">
        <v>45</v>
      </c>
      <c r="AU2" s="31" t="s">
        <v>46</v>
      </c>
      <c r="AV2" s="31" t="s">
        <v>42</v>
      </c>
      <c r="AW2" s="32" t="s">
        <v>75</v>
      </c>
      <c r="AX2" s="33" t="s">
        <v>24</v>
      </c>
      <c r="AY2" s="35" t="s">
        <v>83</v>
      </c>
      <c r="AZ2" s="35" t="s">
        <v>880</v>
      </c>
    </row>
    <row r="3" spans="1:53" x14ac:dyDescent="0.3">
      <c r="A3" t="s">
        <v>85</v>
      </c>
      <c r="B3" s="9">
        <v>46114</v>
      </c>
      <c r="C3">
        <v>0</v>
      </c>
      <c r="D3" t="s">
        <v>84</v>
      </c>
      <c r="E3">
        <v>2103</v>
      </c>
      <c r="F3">
        <v>2103</v>
      </c>
      <c r="G3"/>
      <c r="H3"/>
      <c r="J3" t="s">
        <v>178</v>
      </c>
      <c r="K3" t="s">
        <v>179</v>
      </c>
      <c r="L3" t="s">
        <v>180</v>
      </c>
      <c r="M3" t="s">
        <v>86</v>
      </c>
      <c r="N3" t="s">
        <v>181</v>
      </c>
      <c r="O3" t="s">
        <v>87</v>
      </c>
      <c r="P3" t="s">
        <v>182</v>
      </c>
      <c r="Q3" t="s">
        <v>183</v>
      </c>
      <c r="R3">
        <v>2026</v>
      </c>
      <c r="S3">
        <v>2026</v>
      </c>
      <c r="T3" t="s">
        <v>184</v>
      </c>
      <c r="U3">
        <v>85</v>
      </c>
      <c r="V3">
        <v>104702</v>
      </c>
      <c r="W3">
        <v>175.49</v>
      </c>
      <c r="X3">
        <v>485.38</v>
      </c>
      <c r="Y3">
        <v>0</v>
      </c>
      <c r="Z3">
        <v>75.209999999999994</v>
      </c>
      <c r="AA3">
        <v>0</v>
      </c>
      <c r="AB3">
        <v>0</v>
      </c>
      <c r="AC3">
        <v>0</v>
      </c>
      <c r="AD3">
        <v>0</v>
      </c>
      <c r="AE3">
        <v>0</v>
      </c>
      <c r="AF3">
        <v>15705.3</v>
      </c>
      <c r="AG3">
        <v>320000</v>
      </c>
      <c r="AH3">
        <v>150000</v>
      </c>
      <c r="AI3">
        <v>0</v>
      </c>
      <c r="AJ3">
        <v>150000</v>
      </c>
      <c r="AK3">
        <v>10000</v>
      </c>
      <c r="AL3">
        <v>10000</v>
      </c>
      <c r="AM3" s="42">
        <v>46113</v>
      </c>
      <c r="AN3" s="42">
        <v>46447</v>
      </c>
      <c r="AO3">
        <v>0</v>
      </c>
      <c r="AP3">
        <v>0</v>
      </c>
      <c r="AQ3">
        <v>0</v>
      </c>
      <c r="AR3" s="8">
        <f>((W3+Z3)*11)</f>
        <v>2757.7</v>
      </c>
      <c r="AS3" s="38">
        <f>(AR3*70%)+((AR3*70%)*7.38%)</f>
        <v>2072.8527819999995</v>
      </c>
      <c r="AT3" s="39" t="s">
        <v>858</v>
      </c>
      <c r="AU3" s="40">
        <f>VLOOKUP(N3,'Apólice Endosso'!D:XFD,23,0)</f>
        <v>0</v>
      </c>
      <c r="AV3" s="39" t="str">
        <f>VLOOKUP(N3,'Apólice Endosso'!D:XFD,28,0)</f>
        <v>Padrão (100%) sem blindagem - 150k - Contrato 2025</v>
      </c>
      <c r="AW3" s="41" t="str">
        <f>IF(VLOOKUP(N3,'Apólice Endosso'!D:XFD,47,0)=0,"",VLOOKUP(N3,'Apólice Endosso'!D:XFD,47,0))</f>
        <v/>
      </c>
      <c r="AX3" s="40">
        <f>VLOOKUP(N3,'Apólice Endosso'!D:XFD,30,0)</f>
        <v>5824.6</v>
      </c>
      <c r="AY3" s="36">
        <v>2061.2020520000001</v>
      </c>
      <c r="AZ3" s="16">
        <v>5824.6</v>
      </c>
      <c r="BA3" s="16"/>
    </row>
    <row r="4" spans="1:53" x14ac:dyDescent="0.3">
      <c r="A4" t="s">
        <v>85</v>
      </c>
      <c r="B4" s="9">
        <v>46114</v>
      </c>
      <c r="C4">
        <v>0</v>
      </c>
      <c r="D4" t="s">
        <v>84</v>
      </c>
      <c r="E4">
        <v>2103</v>
      </c>
      <c r="F4">
        <v>2103</v>
      </c>
      <c r="G4"/>
      <c r="H4"/>
      <c r="J4" t="s">
        <v>185</v>
      </c>
      <c r="K4" t="s">
        <v>186</v>
      </c>
      <c r="L4" t="s">
        <v>187</v>
      </c>
      <c r="M4" t="s">
        <v>86</v>
      </c>
      <c r="N4" t="s">
        <v>188</v>
      </c>
      <c r="O4" t="s">
        <v>87</v>
      </c>
      <c r="P4" t="s">
        <v>123</v>
      </c>
      <c r="Q4" t="s">
        <v>189</v>
      </c>
      <c r="R4">
        <v>2025</v>
      </c>
      <c r="S4">
        <v>2025</v>
      </c>
      <c r="T4" t="s">
        <v>125</v>
      </c>
      <c r="U4">
        <v>85</v>
      </c>
      <c r="V4">
        <v>0</v>
      </c>
      <c r="W4">
        <v>231.98</v>
      </c>
      <c r="X4">
        <v>1458.29</v>
      </c>
      <c r="Y4">
        <v>0</v>
      </c>
      <c r="Z4">
        <v>99.42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620000</v>
      </c>
      <c r="AH4">
        <v>300000</v>
      </c>
      <c r="AI4">
        <v>0</v>
      </c>
      <c r="AJ4">
        <v>300000</v>
      </c>
      <c r="AK4">
        <v>10000</v>
      </c>
      <c r="AL4">
        <v>10000</v>
      </c>
      <c r="AM4" s="42">
        <v>46113</v>
      </c>
      <c r="AN4" s="42">
        <v>46447</v>
      </c>
      <c r="AO4">
        <v>0</v>
      </c>
      <c r="AP4">
        <v>0</v>
      </c>
      <c r="AQ4">
        <v>0</v>
      </c>
      <c r="AR4" s="8">
        <f t="shared" ref="AR4:AR67" si="0">((W4+Z4)*11)</f>
        <v>3645.3999999999996</v>
      </c>
      <c r="AS4" s="38">
        <f t="shared" ref="AS4:AS67" si="1">(AR4*70%)+((AR4*70%)*7.38%)</f>
        <v>2740.1013639999996</v>
      </c>
      <c r="AT4" s="39" t="s">
        <v>859</v>
      </c>
      <c r="AU4" s="40">
        <f>VLOOKUP(N4,'Apólice Endosso'!D:XFD,23,0)</f>
        <v>0</v>
      </c>
      <c r="AV4" s="39" t="str">
        <f>VLOOKUP(N4,'Apólice Endosso'!D:XFD,28,0)</f>
        <v>Padrão (100%) sem blindagem - 300k - Contrato 2025</v>
      </c>
      <c r="AW4" s="41" t="str">
        <f>IF(VLOOKUP(N4,'Apólice Endosso'!D:XFD,47,0)=0,"",VLOOKUP(N4,'Apólice Endosso'!D:XFD,47,0))</f>
        <v/>
      </c>
      <c r="AX4" s="40">
        <f>VLOOKUP(N4,'Apólice Endosso'!D:XFD,30,0)</f>
        <v>17499.5</v>
      </c>
      <c r="AY4" s="36">
        <v>2671.7432559999997</v>
      </c>
      <c r="AZ4" s="16">
        <v>17499.5</v>
      </c>
      <c r="BA4" s="16"/>
    </row>
    <row r="5" spans="1:53" x14ac:dyDescent="0.3">
      <c r="A5" t="s">
        <v>85</v>
      </c>
      <c r="B5" s="9">
        <v>46114</v>
      </c>
      <c r="C5">
        <v>0</v>
      </c>
      <c r="D5" t="s">
        <v>84</v>
      </c>
      <c r="E5">
        <v>2103</v>
      </c>
      <c r="F5">
        <v>2103</v>
      </c>
      <c r="G5"/>
      <c r="H5"/>
      <c r="J5" t="s">
        <v>190</v>
      </c>
      <c r="K5" t="s">
        <v>191</v>
      </c>
      <c r="L5" t="s">
        <v>192</v>
      </c>
      <c r="M5" t="s">
        <v>86</v>
      </c>
      <c r="N5" t="s">
        <v>193</v>
      </c>
      <c r="O5" t="s">
        <v>87</v>
      </c>
      <c r="P5" t="s">
        <v>91</v>
      </c>
      <c r="Q5" t="s">
        <v>92</v>
      </c>
      <c r="R5">
        <v>2024</v>
      </c>
      <c r="S5">
        <v>2024</v>
      </c>
      <c r="T5" t="s">
        <v>93</v>
      </c>
      <c r="U5">
        <v>85</v>
      </c>
      <c r="V5">
        <v>0</v>
      </c>
      <c r="W5">
        <v>328.53</v>
      </c>
      <c r="X5">
        <v>2065.1799999999998</v>
      </c>
      <c r="Y5">
        <v>0</v>
      </c>
      <c r="Z5">
        <v>140.80000000000001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620000</v>
      </c>
      <c r="AH5">
        <v>300000</v>
      </c>
      <c r="AI5">
        <v>0</v>
      </c>
      <c r="AJ5">
        <v>300000</v>
      </c>
      <c r="AK5">
        <v>10000</v>
      </c>
      <c r="AL5">
        <v>10000</v>
      </c>
      <c r="AM5" s="42">
        <v>46113</v>
      </c>
      <c r="AN5" s="42">
        <v>46447</v>
      </c>
      <c r="AO5">
        <v>0</v>
      </c>
      <c r="AP5">
        <v>0</v>
      </c>
      <c r="AQ5">
        <v>0</v>
      </c>
      <c r="AR5" s="8">
        <f t="shared" si="0"/>
        <v>5162.63</v>
      </c>
      <c r="AS5" s="38">
        <f t="shared" si="1"/>
        <v>3880.5424657999997</v>
      </c>
      <c r="AT5" s="39" t="s">
        <v>860</v>
      </c>
      <c r="AU5" s="40">
        <f>VLOOKUP(N5,'Apólice Endosso'!D:XFD,23,0)</f>
        <v>0</v>
      </c>
      <c r="AV5" s="39" t="str">
        <f>VLOOKUP(N5,'Apólice Endosso'!D:XFD,28,0)</f>
        <v>Padrão (100%) sem blindagem - 300k - Contrato 2025</v>
      </c>
      <c r="AW5" s="41" t="str">
        <f>IF(VLOOKUP(N5,'Apólice Endosso'!D:XFD,47,0)=0,"",VLOOKUP(N5,'Apólice Endosso'!D:XFD,47,0))</f>
        <v/>
      </c>
      <c r="AX5" s="40">
        <f>VLOOKUP(N5,'Apólice Endosso'!D:XFD,30,0)</f>
        <v>24782.1</v>
      </c>
      <c r="AY5" s="36">
        <v>3715.3694759999994</v>
      </c>
      <c r="AZ5" s="16">
        <v>24782.1</v>
      </c>
      <c r="BA5" s="16"/>
    </row>
    <row r="6" spans="1:53" x14ac:dyDescent="0.3">
      <c r="A6" t="s">
        <v>85</v>
      </c>
      <c r="B6" s="9">
        <v>46114</v>
      </c>
      <c r="C6">
        <v>0</v>
      </c>
      <c r="D6" t="s">
        <v>84</v>
      </c>
      <c r="E6">
        <v>2103</v>
      </c>
      <c r="F6">
        <v>2103</v>
      </c>
      <c r="G6"/>
      <c r="H6"/>
      <c r="J6" t="s">
        <v>97</v>
      </c>
      <c r="K6" t="s">
        <v>98</v>
      </c>
      <c r="L6" t="s">
        <v>194</v>
      </c>
      <c r="M6" t="s">
        <v>86</v>
      </c>
      <c r="N6" t="s">
        <v>195</v>
      </c>
      <c r="O6" t="s">
        <v>87</v>
      </c>
      <c r="P6" t="s">
        <v>102</v>
      </c>
      <c r="Q6" t="s">
        <v>103</v>
      </c>
      <c r="R6">
        <v>2025</v>
      </c>
      <c r="S6">
        <v>2026</v>
      </c>
      <c r="T6" t="s">
        <v>101</v>
      </c>
      <c r="U6">
        <v>85</v>
      </c>
      <c r="V6">
        <v>133248</v>
      </c>
      <c r="W6">
        <v>139.63</v>
      </c>
      <c r="X6">
        <v>587.41999999999996</v>
      </c>
      <c r="Y6">
        <v>0</v>
      </c>
      <c r="Z6">
        <v>59.84</v>
      </c>
      <c r="AA6">
        <v>0</v>
      </c>
      <c r="AB6">
        <v>0</v>
      </c>
      <c r="AC6">
        <v>0</v>
      </c>
      <c r="AD6">
        <v>0</v>
      </c>
      <c r="AE6">
        <v>0</v>
      </c>
      <c r="AF6">
        <v>19987.2</v>
      </c>
      <c r="AG6">
        <v>2220000</v>
      </c>
      <c r="AH6">
        <v>1000000</v>
      </c>
      <c r="AI6">
        <v>200000</v>
      </c>
      <c r="AJ6">
        <v>1000000</v>
      </c>
      <c r="AK6">
        <v>10000</v>
      </c>
      <c r="AL6">
        <v>10000</v>
      </c>
      <c r="AM6" s="42">
        <v>46113</v>
      </c>
      <c r="AN6" s="42">
        <v>46447</v>
      </c>
      <c r="AO6">
        <v>0</v>
      </c>
      <c r="AP6">
        <v>0</v>
      </c>
      <c r="AQ6">
        <v>0</v>
      </c>
      <c r="AR6" s="8">
        <f t="shared" si="0"/>
        <v>2194.17</v>
      </c>
      <c r="AS6" s="38">
        <f t="shared" si="1"/>
        <v>1649.2698221999999</v>
      </c>
      <c r="AT6" s="39" t="s">
        <v>121</v>
      </c>
      <c r="AU6" s="40">
        <f>VLOOKUP(N6,'Apólice Endosso'!D:XFD,23,0)</f>
        <v>0</v>
      </c>
      <c r="AV6" s="39" t="str">
        <f>VLOOKUP(N6,'Apólice Endosso'!D:XFD,28,0)</f>
        <v>Padrão (100%) sem blindagem - 1M - Contrato 2025</v>
      </c>
      <c r="AW6" s="41" t="str">
        <f>IF(VLOOKUP(N6,'Apólice Endosso'!D:XFD,47,0)=0,"",VLOOKUP(N6,'Apólice Endosso'!D:XFD,47,0))</f>
        <v/>
      </c>
      <c r="AX6" s="40">
        <f>VLOOKUP(N6,'Apólice Endosso'!D:XFD,30,0)</f>
        <v>7049</v>
      </c>
      <c r="AY6" s="36">
        <v>1673.5924660000003</v>
      </c>
      <c r="AZ6" s="16">
        <v>7049</v>
      </c>
      <c r="BA6" s="16"/>
    </row>
    <row r="7" spans="1:53" x14ac:dyDescent="0.3">
      <c r="A7" t="s">
        <v>85</v>
      </c>
      <c r="B7" s="9">
        <v>46114</v>
      </c>
      <c r="C7">
        <v>0</v>
      </c>
      <c r="D7" t="s">
        <v>84</v>
      </c>
      <c r="E7">
        <v>2103</v>
      </c>
      <c r="F7">
        <v>2103</v>
      </c>
      <c r="G7"/>
      <c r="H7"/>
      <c r="J7" t="s">
        <v>97</v>
      </c>
      <c r="K7" t="s">
        <v>98</v>
      </c>
      <c r="L7" t="s">
        <v>196</v>
      </c>
      <c r="M7" t="s">
        <v>86</v>
      </c>
      <c r="N7" t="s">
        <v>197</v>
      </c>
      <c r="O7" t="s">
        <v>87</v>
      </c>
      <c r="P7" t="s">
        <v>99</v>
      </c>
      <c r="Q7" t="s">
        <v>100</v>
      </c>
      <c r="R7">
        <v>2026</v>
      </c>
      <c r="S7">
        <v>2026</v>
      </c>
      <c r="T7" t="s">
        <v>101</v>
      </c>
      <c r="U7">
        <v>85</v>
      </c>
      <c r="V7">
        <v>133248</v>
      </c>
      <c r="W7">
        <v>139.63</v>
      </c>
      <c r="X7">
        <v>587.41999999999996</v>
      </c>
      <c r="Y7">
        <v>0</v>
      </c>
      <c r="Z7">
        <v>59.84</v>
      </c>
      <c r="AA7">
        <v>0</v>
      </c>
      <c r="AB7">
        <v>0</v>
      </c>
      <c r="AC7">
        <v>0</v>
      </c>
      <c r="AD7">
        <v>0</v>
      </c>
      <c r="AE7">
        <v>0</v>
      </c>
      <c r="AF7">
        <v>19987.2</v>
      </c>
      <c r="AG7">
        <v>2220000</v>
      </c>
      <c r="AH7">
        <v>1000000</v>
      </c>
      <c r="AI7">
        <v>200000</v>
      </c>
      <c r="AJ7">
        <v>1000000</v>
      </c>
      <c r="AK7">
        <v>10000</v>
      </c>
      <c r="AL7">
        <v>10000</v>
      </c>
      <c r="AM7" s="42">
        <v>46113</v>
      </c>
      <c r="AN7" s="42">
        <v>46447</v>
      </c>
      <c r="AO7">
        <v>0</v>
      </c>
      <c r="AP7">
        <v>0</v>
      </c>
      <c r="AQ7">
        <v>0</v>
      </c>
      <c r="AR7" s="8">
        <f t="shared" si="0"/>
        <v>2194.17</v>
      </c>
      <c r="AS7" s="38">
        <f t="shared" si="1"/>
        <v>1649.2698221999999</v>
      </c>
      <c r="AT7" s="39" t="s">
        <v>121</v>
      </c>
      <c r="AU7" s="40">
        <f>VLOOKUP(N7,'Apólice Endosso'!D:XFD,23,0)</f>
        <v>0</v>
      </c>
      <c r="AV7" s="39" t="str">
        <f>VLOOKUP(N7,'Apólice Endosso'!D:XFD,28,0)</f>
        <v>Padrão (100%) sem blindagem - 1M - Contrato 2025</v>
      </c>
      <c r="AW7" s="41" t="str">
        <f>IF(VLOOKUP(N7,'Apólice Endosso'!D:XFD,47,0)=0,"",VLOOKUP(N7,'Apólice Endosso'!D:XFD,47,0))</f>
        <v/>
      </c>
      <c r="AX7" s="40">
        <f>VLOOKUP(N7,'Apólice Endosso'!D:XFD,30,0)</f>
        <v>7049</v>
      </c>
      <c r="AY7" s="36">
        <v>1673.5924660000003</v>
      </c>
      <c r="AZ7" s="16">
        <v>7049</v>
      </c>
      <c r="BA7" s="16"/>
    </row>
    <row r="8" spans="1:53" x14ac:dyDescent="0.3">
      <c r="A8" t="s">
        <v>85</v>
      </c>
      <c r="B8" s="9">
        <v>46114</v>
      </c>
      <c r="C8">
        <v>0</v>
      </c>
      <c r="D8" t="s">
        <v>84</v>
      </c>
      <c r="E8">
        <v>2103</v>
      </c>
      <c r="F8">
        <v>2103</v>
      </c>
      <c r="G8"/>
      <c r="H8"/>
      <c r="J8" t="s">
        <v>97</v>
      </c>
      <c r="K8" t="s">
        <v>98</v>
      </c>
      <c r="L8" t="s">
        <v>198</v>
      </c>
      <c r="M8" t="s">
        <v>86</v>
      </c>
      <c r="N8" t="s">
        <v>199</v>
      </c>
      <c r="O8" t="s">
        <v>87</v>
      </c>
      <c r="P8" t="s">
        <v>99</v>
      </c>
      <c r="Q8" t="s">
        <v>100</v>
      </c>
      <c r="R8">
        <v>2026</v>
      </c>
      <c r="S8">
        <v>2026</v>
      </c>
      <c r="T8" t="s">
        <v>101</v>
      </c>
      <c r="U8">
        <v>85</v>
      </c>
      <c r="V8">
        <v>133248</v>
      </c>
      <c r="W8">
        <v>139.63</v>
      </c>
      <c r="X8">
        <v>587.41999999999996</v>
      </c>
      <c r="Y8">
        <v>0</v>
      </c>
      <c r="Z8">
        <v>59.84</v>
      </c>
      <c r="AA8">
        <v>0</v>
      </c>
      <c r="AB8">
        <v>0</v>
      </c>
      <c r="AC8">
        <v>0</v>
      </c>
      <c r="AD8">
        <v>0</v>
      </c>
      <c r="AE8">
        <v>0</v>
      </c>
      <c r="AF8">
        <v>19987.2</v>
      </c>
      <c r="AG8">
        <v>2220000</v>
      </c>
      <c r="AH8">
        <v>1000000</v>
      </c>
      <c r="AI8">
        <v>200000</v>
      </c>
      <c r="AJ8">
        <v>1000000</v>
      </c>
      <c r="AK8">
        <v>10000</v>
      </c>
      <c r="AL8">
        <v>10000</v>
      </c>
      <c r="AM8" s="42">
        <v>46113</v>
      </c>
      <c r="AN8" s="42">
        <v>46447</v>
      </c>
      <c r="AO8">
        <v>0</v>
      </c>
      <c r="AP8">
        <v>0</v>
      </c>
      <c r="AQ8">
        <v>0</v>
      </c>
      <c r="AR8" s="8">
        <f t="shared" si="0"/>
        <v>2194.17</v>
      </c>
      <c r="AS8" s="38">
        <f t="shared" si="1"/>
        <v>1649.2698221999999</v>
      </c>
      <c r="AT8" s="39" t="s">
        <v>121</v>
      </c>
      <c r="AU8" s="40">
        <f>VLOOKUP(N8,'Apólice Endosso'!D:XFD,23,0)</f>
        <v>0</v>
      </c>
      <c r="AV8" s="39" t="str">
        <f>VLOOKUP(N8,'Apólice Endosso'!D:XFD,28,0)</f>
        <v>Padrão (100%) sem blindagem - 1M - Contrato 2025</v>
      </c>
      <c r="AW8" s="41" t="str">
        <f>IF(VLOOKUP(N8,'Apólice Endosso'!D:XFD,47,0)=0,"",VLOOKUP(N8,'Apólice Endosso'!D:XFD,47,0))</f>
        <v/>
      </c>
      <c r="AX8" s="40">
        <f>VLOOKUP(N8,'Apólice Endosso'!D:XFD,30,0)</f>
        <v>7049</v>
      </c>
      <c r="AY8" s="36">
        <v>1673.5924660000003</v>
      </c>
      <c r="AZ8" s="16">
        <v>7049</v>
      </c>
      <c r="BA8" s="16"/>
    </row>
    <row r="9" spans="1:53" x14ac:dyDescent="0.3">
      <c r="A9" t="s">
        <v>85</v>
      </c>
      <c r="B9" s="9">
        <v>46114</v>
      </c>
      <c r="C9">
        <v>0</v>
      </c>
      <c r="D9" t="s">
        <v>84</v>
      </c>
      <c r="E9">
        <v>2103</v>
      </c>
      <c r="F9">
        <v>2103</v>
      </c>
      <c r="G9"/>
      <c r="H9"/>
      <c r="J9" t="s">
        <v>97</v>
      </c>
      <c r="K9" t="s">
        <v>98</v>
      </c>
      <c r="L9" t="s">
        <v>200</v>
      </c>
      <c r="M9" t="s">
        <v>86</v>
      </c>
      <c r="N9" t="s">
        <v>201</v>
      </c>
      <c r="O9" t="s">
        <v>87</v>
      </c>
      <c r="P9" t="s">
        <v>99</v>
      </c>
      <c r="Q9" t="s">
        <v>100</v>
      </c>
      <c r="R9">
        <v>2026</v>
      </c>
      <c r="S9">
        <v>2026</v>
      </c>
      <c r="T9" t="s">
        <v>101</v>
      </c>
      <c r="U9">
        <v>85</v>
      </c>
      <c r="V9">
        <v>133248</v>
      </c>
      <c r="W9">
        <v>139.63</v>
      </c>
      <c r="X9">
        <v>587.41999999999996</v>
      </c>
      <c r="Y9">
        <v>0</v>
      </c>
      <c r="Z9">
        <v>59.84</v>
      </c>
      <c r="AA9">
        <v>0</v>
      </c>
      <c r="AB9">
        <v>0</v>
      </c>
      <c r="AC9">
        <v>0</v>
      </c>
      <c r="AD9">
        <v>0</v>
      </c>
      <c r="AE9">
        <v>0</v>
      </c>
      <c r="AF9">
        <v>19987.2</v>
      </c>
      <c r="AG9">
        <v>2220000</v>
      </c>
      <c r="AH9">
        <v>1000000</v>
      </c>
      <c r="AI9">
        <v>200000</v>
      </c>
      <c r="AJ9">
        <v>1000000</v>
      </c>
      <c r="AK9">
        <v>10000</v>
      </c>
      <c r="AL9">
        <v>10000</v>
      </c>
      <c r="AM9" s="42">
        <v>46113</v>
      </c>
      <c r="AN9" s="42">
        <v>46447</v>
      </c>
      <c r="AO9">
        <v>0</v>
      </c>
      <c r="AP9">
        <v>0</v>
      </c>
      <c r="AQ9">
        <v>0</v>
      </c>
      <c r="AR9" s="8">
        <f t="shared" si="0"/>
        <v>2194.17</v>
      </c>
      <c r="AS9" s="38">
        <f t="shared" si="1"/>
        <v>1649.2698221999999</v>
      </c>
      <c r="AT9" s="39" t="s">
        <v>121</v>
      </c>
      <c r="AU9" s="40">
        <f>VLOOKUP(N9,'Apólice Endosso'!D:XFD,23,0)</f>
        <v>0</v>
      </c>
      <c r="AV9" s="39" t="str">
        <f>VLOOKUP(N9,'Apólice Endosso'!D:XFD,28,0)</f>
        <v>Padrão (100%) sem blindagem - 1M - Contrato 2025</v>
      </c>
      <c r="AW9" s="41" t="str">
        <f>IF(VLOOKUP(N9,'Apólice Endosso'!D:XFD,47,0)=0,"",VLOOKUP(N9,'Apólice Endosso'!D:XFD,47,0))</f>
        <v/>
      </c>
      <c r="AX9" s="40">
        <f>VLOOKUP(N9,'Apólice Endosso'!D:XFD,30,0)</f>
        <v>7049</v>
      </c>
      <c r="AY9" s="36">
        <v>1673.5924660000003</v>
      </c>
      <c r="AZ9" s="16">
        <v>7049</v>
      </c>
      <c r="BA9" s="16"/>
    </row>
    <row r="10" spans="1:53" x14ac:dyDescent="0.3">
      <c r="A10" t="s">
        <v>85</v>
      </c>
      <c r="B10" s="9">
        <v>46118</v>
      </c>
      <c r="C10">
        <v>0</v>
      </c>
      <c r="D10" t="s">
        <v>84</v>
      </c>
      <c r="E10">
        <v>2103</v>
      </c>
      <c r="F10">
        <v>2103</v>
      </c>
      <c r="G10"/>
      <c r="H10"/>
      <c r="J10" t="s">
        <v>151</v>
      </c>
      <c r="K10" t="s">
        <v>152</v>
      </c>
      <c r="L10" t="s">
        <v>202</v>
      </c>
      <c r="M10" t="s">
        <v>86</v>
      </c>
      <c r="N10" t="s">
        <v>203</v>
      </c>
      <c r="O10" t="s">
        <v>87</v>
      </c>
      <c r="P10" t="s">
        <v>153</v>
      </c>
      <c r="Q10" t="s">
        <v>162</v>
      </c>
      <c r="R10">
        <v>2026</v>
      </c>
      <c r="S10">
        <v>2026</v>
      </c>
      <c r="T10" t="s">
        <v>156</v>
      </c>
      <c r="U10">
        <v>85</v>
      </c>
      <c r="V10">
        <v>97920</v>
      </c>
      <c r="W10">
        <v>163.68</v>
      </c>
      <c r="X10">
        <v>452.72</v>
      </c>
      <c r="Y10">
        <v>0</v>
      </c>
      <c r="Z10">
        <v>70.150000000000006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14688</v>
      </c>
      <c r="AG10">
        <v>320000</v>
      </c>
      <c r="AH10">
        <v>150000</v>
      </c>
      <c r="AI10">
        <v>0</v>
      </c>
      <c r="AJ10">
        <v>150000</v>
      </c>
      <c r="AK10">
        <v>10000</v>
      </c>
      <c r="AL10">
        <v>10000</v>
      </c>
      <c r="AM10" s="42">
        <v>46113</v>
      </c>
      <c r="AN10" s="42">
        <v>46447</v>
      </c>
      <c r="AO10">
        <v>0</v>
      </c>
      <c r="AP10">
        <v>0</v>
      </c>
      <c r="AQ10">
        <v>0</v>
      </c>
      <c r="AR10" s="8">
        <f t="shared" si="0"/>
        <v>2572.13</v>
      </c>
      <c r="AS10" s="38">
        <f t="shared" si="1"/>
        <v>1933.3672357999999</v>
      </c>
      <c r="AT10" s="39" t="s">
        <v>174</v>
      </c>
      <c r="AU10" s="40">
        <f>VLOOKUP(N10,'Apólice Endosso'!D:XFD,23,0)</f>
        <v>0</v>
      </c>
      <c r="AV10" s="39" t="str">
        <f>VLOOKUP(N10,'Apólice Endosso'!D:XFD,28,0)</f>
        <v>Padrão (100%) sem blindagem - 150k - Contrato 2025</v>
      </c>
      <c r="AW10" s="41" t="str">
        <f>IF(VLOOKUP(N10,'Apólice Endosso'!D:XFD,47,0)=0,"",VLOOKUP(N10,'Apólice Endosso'!D:XFD,47,0))</f>
        <v/>
      </c>
      <c r="AX10" s="40">
        <f>VLOOKUP(N10,'Apólice Endosso'!D:XFD,30,0)</f>
        <v>5432.6</v>
      </c>
      <c r="AY10" s="36">
        <v>1933.5487079999998</v>
      </c>
      <c r="AZ10" s="16">
        <v>5432.6</v>
      </c>
      <c r="BA10" s="16"/>
    </row>
    <row r="11" spans="1:53" x14ac:dyDescent="0.3">
      <c r="A11" t="s">
        <v>85</v>
      </c>
      <c r="B11" s="9">
        <v>46118</v>
      </c>
      <c r="C11">
        <v>0</v>
      </c>
      <c r="D11" t="s">
        <v>84</v>
      </c>
      <c r="E11">
        <v>2103</v>
      </c>
      <c r="F11">
        <v>2103</v>
      </c>
      <c r="G11"/>
      <c r="H11"/>
      <c r="J11" t="s">
        <v>204</v>
      </c>
      <c r="K11" t="s">
        <v>205</v>
      </c>
      <c r="L11" t="s">
        <v>206</v>
      </c>
      <c r="M11" t="s">
        <v>86</v>
      </c>
      <c r="N11" t="s">
        <v>207</v>
      </c>
      <c r="O11" t="s">
        <v>87</v>
      </c>
      <c r="P11" t="s">
        <v>89</v>
      </c>
      <c r="Q11" t="s">
        <v>90</v>
      </c>
      <c r="R11">
        <v>2026</v>
      </c>
      <c r="S11">
        <v>2026</v>
      </c>
      <c r="T11" t="s">
        <v>88</v>
      </c>
      <c r="U11">
        <v>85</v>
      </c>
      <c r="V11">
        <v>84669</v>
      </c>
      <c r="W11">
        <v>152.16</v>
      </c>
      <c r="X11">
        <v>420.86</v>
      </c>
      <c r="Y11">
        <v>0</v>
      </c>
      <c r="Z11">
        <v>65.209999999999994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12700.35</v>
      </c>
      <c r="AG11">
        <v>320000</v>
      </c>
      <c r="AH11">
        <v>150000</v>
      </c>
      <c r="AI11">
        <v>0</v>
      </c>
      <c r="AJ11">
        <v>150000</v>
      </c>
      <c r="AK11">
        <v>10000</v>
      </c>
      <c r="AL11">
        <v>10000</v>
      </c>
      <c r="AM11" s="42">
        <v>46113</v>
      </c>
      <c r="AN11" s="42">
        <v>46447</v>
      </c>
      <c r="AO11">
        <v>0</v>
      </c>
      <c r="AP11">
        <v>0</v>
      </c>
      <c r="AQ11">
        <v>0</v>
      </c>
      <c r="AR11" s="8">
        <f t="shared" si="0"/>
        <v>2391.0700000000002</v>
      </c>
      <c r="AS11" s="38">
        <f t="shared" si="1"/>
        <v>1797.2716762</v>
      </c>
      <c r="AT11" s="39" t="s">
        <v>861</v>
      </c>
      <c r="AU11" s="40">
        <f>VLOOKUP(N11,'Apólice Endosso'!D:XFD,23,0)</f>
        <v>0</v>
      </c>
      <c r="AV11" s="39" t="str">
        <f>VLOOKUP(N11,'Apólice Endosso'!D:XFD,28,0)</f>
        <v>Padrão (100%) sem blindagem - 150k - Contrato 2025</v>
      </c>
      <c r="AW11" s="41" t="str">
        <f>IF(VLOOKUP(N11,'Apólice Endosso'!D:XFD,47,0)=0,"",VLOOKUP(N11,'Apólice Endosso'!D:XFD,47,0))</f>
        <v/>
      </c>
      <c r="AX11" s="40">
        <f>VLOOKUP(N11,'Apólice Endosso'!D:XFD,30,0)</f>
        <v>5050.3500000000004</v>
      </c>
      <c r="AY11" s="36">
        <v>1809.0308599999998</v>
      </c>
      <c r="AZ11" s="16">
        <v>5050.3500000000004</v>
      </c>
      <c r="BA11" s="16"/>
    </row>
    <row r="12" spans="1:53" x14ac:dyDescent="0.3">
      <c r="A12" t="s">
        <v>85</v>
      </c>
      <c r="B12" s="9">
        <v>46119</v>
      </c>
      <c r="C12">
        <v>0</v>
      </c>
      <c r="D12" t="s">
        <v>84</v>
      </c>
      <c r="E12">
        <v>2103</v>
      </c>
      <c r="F12">
        <v>2103</v>
      </c>
      <c r="G12"/>
      <c r="H12"/>
      <c r="J12" t="s">
        <v>151</v>
      </c>
      <c r="K12" t="s">
        <v>152</v>
      </c>
      <c r="L12" t="s">
        <v>208</v>
      </c>
      <c r="M12" t="s">
        <v>86</v>
      </c>
      <c r="N12" t="s">
        <v>209</v>
      </c>
      <c r="O12" t="s">
        <v>87</v>
      </c>
      <c r="P12" t="s">
        <v>153</v>
      </c>
      <c r="Q12" t="s">
        <v>162</v>
      </c>
      <c r="R12">
        <v>2026</v>
      </c>
      <c r="S12">
        <v>2026</v>
      </c>
      <c r="T12" t="s">
        <v>156</v>
      </c>
      <c r="U12">
        <v>85</v>
      </c>
      <c r="V12">
        <v>97920</v>
      </c>
      <c r="W12">
        <v>163.68</v>
      </c>
      <c r="X12">
        <v>452.72</v>
      </c>
      <c r="Y12">
        <v>0</v>
      </c>
      <c r="Z12">
        <v>70.150000000000006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14688</v>
      </c>
      <c r="AG12">
        <v>320000</v>
      </c>
      <c r="AH12">
        <v>150000</v>
      </c>
      <c r="AI12">
        <v>0</v>
      </c>
      <c r="AJ12">
        <v>150000</v>
      </c>
      <c r="AK12">
        <v>10000</v>
      </c>
      <c r="AL12">
        <v>10000</v>
      </c>
      <c r="AM12" s="42">
        <v>46113</v>
      </c>
      <c r="AN12" s="42">
        <v>46447</v>
      </c>
      <c r="AO12">
        <v>0</v>
      </c>
      <c r="AP12">
        <v>0</v>
      </c>
      <c r="AQ12">
        <v>0</v>
      </c>
      <c r="AR12" s="8">
        <f t="shared" si="0"/>
        <v>2572.13</v>
      </c>
      <c r="AS12" s="38">
        <f t="shared" si="1"/>
        <v>1933.3672357999999</v>
      </c>
      <c r="AT12" s="39" t="s">
        <v>174</v>
      </c>
      <c r="AU12" s="40">
        <f>VLOOKUP(N12,'Apólice Endosso'!D:XFD,23,0)</f>
        <v>0</v>
      </c>
      <c r="AV12" s="39" t="str">
        <f>VLOOKUP(N12,'Apólice Endosso'!D:XFD,28,0)</f>
        <v>Padrão (100%) sem blindagem - 150k - Contrato 2025</v>
      </c>
      <c r="AW12" s="41" t="str">
        <f>IF(VLOOKUP(N12,'Apólice Endosso'!D:XFD,47,0)=0,"",VLOOKUP(N12,'Apólice Endosso'!D:XFD,47,0))</f>
        <v/>
      </c>
      <c r="AX12" s="40">
        <f>VLOOKUP(N12,'Apólice Endosso'!D:XFD,30,0)</f>
        <v>5432.6</v>
      </c>
      <c r="AY12" s="36">
        <v>1933.5487079999998</v>
      </c>
      <c r="AZ12" s="16">
        <v>5432.6</v>
      </c>
      <c r="BA12" s="16"/>
    </row>
    <row r="13" spans="1:53" x14ac:dyDescent="0.3">
      <c r="A13" t="s">
        <v>85</v>
      </c>
      <c r="B13" s="9">
        <v>46119</v>
      </c>
      <c r="C13">
        <v>0</v>
      </c>
      <c r="D13" t="s">
        <v>84</v>
      </c>
      <c r="E13">
        <v>2103</v>
      </c>
      <c r="F13">
        <v>2103</v>
      </c>
      <c r="G13"/>
      <c r="H13"/>
      <c r="J13" t="s">
        <v>147</v>
      </c>
      <c r="K13" t="s">
        <v>148</v>
      </c>
      <c r="L13" t="s">
        <v>210</v>
      </c>
      <c r="M13" t="s">
        <v>86</v>
      </c>
      <c r="N13" t="s">
        <v>211</v>
      </c>
      <c r="O13" t="s">
        <v>87</v>
      </c>
      <c r="P13" t="s">
        <v>91</v>
      </c>
      <c r="Q13" t="s">
        <v>92</v>
      </c>
      <c r="R13">
        <v>2024</v>
      </c>
      <c r="S13">
        <v>2024</v>
      </c>
      <c r="T13" t="s">
        <v>93</v>
      </c>
      <c r="U13">
        <v>85</v>
      </c>
      <c r="V13">
        <v>0</v>
      </c>
      <c r="W13">
        <v>324.19</v>
      </c>
      <c r="X13">
        <v>2037.92</v>
      </c>
      <c r="Y13">
        <v>0</v>
      </c>
      <c r="Z13">
        <v>138.94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620000</v>
      </c>
      <c r="AH13">
        <v>300000</v>
      </c>
      <c r="AI13">
        <v>0</v>
      </c>
      <c r="AJ13">
        <v>300000</v>
      </c>
      <c r="AK13">
        <v>10000</v>
      </c>
      <c r="AL13">
        <v>10000</v>
      </c>
      <c r="AM13" s="42">
        <v>46113</v>
      </c>
      <c r="AN13" s="42">
        <v>46447</v>
      </c>
      <c r="AO13">
        <v>0</v>
      </c>
      <c r="AP13">
        <v>0</v>
      </c>
      <c r="AQ13">
        <v>0</v>
      </c>
      <c r="AR13" s="8">
        <f t="shared" si="0"/>
        <v>5094.43</v>
      </c>
      <c r="AS13" s="38">
        <f t="shared" si="1"/>
        <v>3829.2792538000003</v>
      </c>
      <c r="AT13" s="39" t="s">
        <v>170</v>
      </c>
      <c r="AU13" s="40">
        <f>VLOOKUP(N13,'Apólice Endosso'!D:XFD,23,0)</f>
        <v>0</v>
      </c>
      <c r="AV13" s="39" t="str">
        <f>VLOOKUP(N13,'Apólice Endosso'!D:XFD,28,0)</f>
        <v>Padrão (100%) sem blindagem - 300k - Contrato 2025</v>
      </c>
      <c r="AW13" s="41" t="str">
        <f>IF(VLOOKUP(N13,'Apólice Endosso'!D:XFD,47,0)=0,"",VLOOKUP(N13,'Apólice Endosso'!D:XFD,47,0))</f>
        <v/>
      </c>
      <c r="AX13" s="40">
        <f>VLOOKUP(N13,'Apólice Endosso'!D:XFD,30,0)</f>
        <v>24455.05</v>
      </c>
      <c r="AY13" s="36">
        <v>3668.4658919999997</v>
      </c>
      <c r="AZ13" s="16">
        <v>24455.05</v>
      </c>
      <c r="BA13" s="16"/>
    </row>
    <row r="14" spans="1:53" x14ac:dyDescent="0.3">
      <c r="A14" t="s">
        <v>85</v>
      </c>
      <c r="B14" s="9">
        <v>46119</v>
      </c>
      <c r="C14">
        <v>0</v>
      </c>
      <c r="D14" t="s">
        <v>84</v>
      </c>
      <c r="E14">
        <v>2103</v>
      </c>
      <c r="F14">
        <v>2103</v>
      </c>
      <c r="G14"/>
      <c r="H14"/>
      <c r="J14" t="s">
        <v>204</v>
      </c>
      <c r="K14" t="s">
        <v>205</v>
      </c>
      <c r="L14" t="s">
        <v>212</v>
      </c>
      <c r="M14" t="s">
        <v>86</v>
      </c>
      <c r="N14" t="s">
        <v>213</v>
      </c>
      <c r="O14" t="s">
        <v>87</v>
      </c>
      <c r="P14" t="s">
        <v>89</v>
      </c>
      <c r="Q14" t="s">
        <v>90</v>
      </c>
      <c r="R14">
        <v>2026</v>
      </c>
      <c r="S14">
        <v>2026</v>
      </c>
      <c r="T14" t="s">
        <v>88</v>
      </c>
      <c r="U14">
        <v>85</v>
      </c>
      <c r="V14">
        <v>84669</v>
      </c>
      <c r="W14">
        <v>152.16</v>
      </c>
      <c r="X14">
        <v>420.86</v>
      </c>
      <c r="Y14">
        <v>0</v>
      </c>
      <c r="Z14">
        <v>65.209999999999994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12700.35</v>
      </c>
      <c r="AG14">
        <v>320000</v>
      </c>
      <c r="AH14">
        <v>150000</v>
      </c>
      <c r="AI14">
        <v>0</v>
      </c>
      <c r="AJ14">
        <v>150000</v>
      </c>
      <c r="AK14">
        <v>10000</v>
      </c>
      <c r="AL14">
        <v>10000</v>
      </c>
      <c r="AM14" s="42">
        <v>46113</v>
      </c>
      <c r="AN14" s="42">
        <v>46447</v>
      </c>
      <c r="AO14">
        <v>0</v>
      </c>
      <c r="AP14">
        <v>0</v>
      </c>
      <c r="AQ14">
        <v>0</v>
      </c>
      <c r="AR14" s="8">
        <f t="shared" si="0"/>
        <v>2391.0700000000002</v>
      </c>
      <c r="AS14" s="38">
        <f t="shared" si="1"/>
        <v>1797.2716762</v>
      </c>
      <c r="AT14" s="39" t="s">
        <v>861</v>
      </c>
      <c r="AU14" s="40">
        <f>VLOOKUP(N14,'Apólice Endosso'!D:XFD,23,0)</f>
        <v>0</v>
      </c>
      <c r="AV14" s="39" t="str">
        <f>VLOOKUP(N14,'Apólice Endosso'!D:XFD,28,0)</f>
        <v>Padrão (100%) sem blindagem - 150k - Contrato 2025</v>
      </c>
      <c r="AW14" s="41" t="str">
        <f>IF(VLOOKUP(N14,'Apólice Endosso'!D:XFD,47,0)=0,"",VLOOKUP(N14,'Apólice Endosso'!D:XFD,47,0))</f>
        <v/>
      </c>
      <c r="AX14" s="40">
        <f>VLOOKUP(N14,'Apólice Endosso'!D:XFD,30,0)</f>
        <v>5050.3500000000004</v>
      </c>
      <c r="AY14" s="36">
        <v>1809.0308599999998</v>
      </c>
      <c r="AZ14" s="16">
        <v>5050.3500000000004</v>
      </c>
      <c r="BA14" s="16"/>
    </row>
    <row r="15" spans="1:53" x14ac:dyDescent="0.3">
      <c r="A15" t="s">
        <v>85</v>
      </c>
      <c r="B15" s="9">
        <v>46119</v>
      </c>
      <c r="C15">
        <v>0</v>
      </c>
      <c r="D15" t="s">
        <v>84</v>
      </c>
      <c r="E15">
        <v>2103</v>
      </c>
      <c r="F15">
        <v>2103</v>
      </c>
      <c r="G15"/>
      <c r="H15"/>
      <c r="J15" t="s">
        <v>204</v>
      </c>
      <c r="K15" t="s">
        <v>205</v>
      </c>
      <c r="L15" t="s">
        <v>214</v>
      </c>
      <c r="M15" t="s">
        <v>86</v>
      </c>
      <c r="N15" t="s">
        <v>215</v>
      </c>
      <c r="O15" t="s">
        <v>87</v>
      </c>
      <c r="P15" t="s">
        <v>89</v>
      </c>
      <c r="Q15" t="s">
        <v>90</v>
      </c>
      <c r="R15">
        <v>2026</v>
      </c>
      <c r="S15">
        <v>2026</v>
      </c>
      <c r="T15" t="s">
        <v>88</v>
      </c>
      <c r="U15">
        <v>85</v>
      </c>
      <c r="V15">
        <v>84669</v>
      </c>
      <c r="W15">
        <v>152.16</v>
      </c>
      <c r="X15">
        <v>420.86</v>
      </c>
      <c r="Y15">
        <v>0</v>
      </c>
      <c r="Z15">
        <v>65.209999999999994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12700.35</v>
      </c>
      <c r="AG15">
        <v>320000</v>
      </c>
      <c r="AH15">
        <v>150000</v>
      </c>
      <c r="AI15">
        <v>0</v>
      </c>
      <c r="AJ15">
        <v>150000</v>
      </c>
      <c r="AK15">
        <v>10000</v>
      </c>
      <c r="AL15">
        <v>10000</v>
      </c>
      <c r="AM15" s="42">
        <v>46113</v>
      </c>
      <c r="AN15" s="42">
        <v>46447</v>
      </c>
      <c r="AO15">
        <v>0</v>
      </c>
      <c r="AP15">
        <v>0</v>
      </c>
      <c r="AQ15">
        <v>0</v>
      </c>
      <c r="AR15" s="8">
        <f t="shared" si="0"/>
        <v>2391.0700000000002</v>
      </c>
      <c r="AS15" s="38">
        <f t="shared" si="1"/>
        <v>1797.2716762</v>
      </c>
      <c r="AT15" s="39" t="s">
        <v>861</v>
      </c>
      <c r="AU15" s="40">
        <f>VLOOKUP(N15,'Apólice Endosso'!D:XFD,23,0)</f>
        <v>0</v>
      </c>
      <c r="AV15" s="39" t="str">
        <f>VLOOKUP(N15,'Apólice Endosso'!D:XFD,28,0)</f>
        <v>Padrão (100%) sem blindagem - 150k - Contrato 2025</v>
      </c>
      <c r="AW15" s="41" t="str">
        <f>IF(VLOOKUP(N15,'Apólice Endosso'!D:XFD,47,0)=0,"",VLOOKUP(N15,'Apólice Endosso'!D:XFD,47,0))</f>
        <v/>
      </c>
      <c r="AX15" s="40">
        <f>VLOOKUP(N15,'Apólice Endosso'!D:XFD,30,0)</f>
        <v>5050.3500000000004</v>
      </c>
      <c r="AY15" s="36">
        <v>1809.0308599999998</v>
      </c>
      <c r="AZ15" s="16">
        <v>5050.3500000000004</v>
      </c>
      <c r="BA15" s="16"/>
    </row>
    <row r="16" spans="1:53" x14ac:dyDescent="0.3">
      <c r="A16" t="s">
        <v>85</v>
      </c>
      <c r="B16" s="9">
        <v>46119</v>
      </c>
      <c r="C16">
        <v>0</v>
      </c>
      <c r="D16" t="s">
        <v>84</v>
      </c>
      <c r="E16">
        <v>2103</v>
      </c>
      <c r="F16">
        <v>2103</v>
      </c>
      <c r="G16"/>
      <c r="H16"/>
      <c r="J16" t="s">
        <v>204</v>
      </c>
      <c r="K16" t="s">
        <v>205</v>
      </c>
      <c r="L16" t="s">
        <v>216</v>
      </c>
      <c r="M16" t="s">
        <v>86</v>
      </c>
      <c r="N16" t="s">
        <v>217</v>
      </c>
      <c r="O16" t="s">
        <v>87</v>
      </c>
      <c r="P16" t="s">
        <v>89</v>
      </c>
      <c r="Q16" t="s">
        <v>90</v>
      </c>
      <c r="R16">
        <v>2026</v>
      </c>
      <c r="S16">
        <v>2026</v>
      </c>
      <c r="T16" t="s">
        <v>88</v>
      </c>
      <c r="U16">
        <v>85</v>
      </c>
      <c r="V16">
        <v>84669</v>
      </c>
      <c r="W16">
        <v>152.16</v>
      </c>
      <c r="X16">
        <v>420.86</v>
      </c>
      <c r="Y16">
        <v>0</v>
      </c>
      <c r="Z16">
        <v>65.209999999999994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12700.35</v>
      </c>
      <c r="AG16">
        <v>320000</v>
      </c>
      <c r="AH16">
        <v>150000</v>
      </c>
      <c r="AI16">
        <v>0</v>
      </c>
      <c r="AJ16">
        <v>150000</v>
      </c>
      <c r="AK16">
        <v>10000</v>
      </c>
      <c r="AL16">
        <v>10000</v>
      </c>
      <c r="AM16" s="42">
        <v>46113</v>
      </c>
      <c r="AN16" s="42">
        <v>46447</v>
      </c>
      <c r="AO16">
        <v>0</v>
      </c>
      <c r="AP16">
        <v>0</v>
      </c>
      <c r="AQ16">
        <v>0</v>
      </c>
      <c r="AR16" s="8">
        <f t="shared" si="0"/>
        <v>2391.0700000000002</v>
      </c>
      <c r="AS16" s="38">
        <f t="shared" si="1"/>
        <v>1797.2716762</v>
      </c>
      <c r="AT16" s="39" t="s">
        <v>861</v>
      </c>
      <c r="AU16" s="40">
        <f>VLOOKUP(N16,'Apólice Endosso'!D:XFD,23,0)</f>
        <v>0</v>
      </c>
      <c r="AV16" s="39" t="str">
        <f>VLOOKUP(N16,'Apólice Endosso'!D:XFD,28,0)</f>
        <v>Padrão (100%) sem blindagem - 150k - Contrato 2025</v>
      </c>
      <c r="AW16" s="41" t="str">
        <f>IF(VLOOKUP(N16,'Apólice Endosso'!D:XFD,47,0)=0,"",VLOOKUP(N16,'Apólice Endosso'!D:XFD,47,0))</f>
        <v/>
      </c>
      <c r="AX16" s="40">
        <f>VLOOKUP(N16,'Apólice Endosso'!D:XFD,30,0)</f>
        <v>5050.3500000000004</v>
      </c>
      <c r="AY16" s="36">
        <v>1809.0308599999998</v>
      </c>
      <c r="AZ16" s="16">
        <v>5050.3500000000004</v>
      </c>
      <c r="BA16" s="16"/>
    </row>
    <row r="17" spans="1:53" x14ac:dyDescent="0.3">
      <c r="A17" t="s">
        <v>85</v>
      </c>
      <c r="B17" s="9">
        <v>46119</v>
      </c>
      <c r="C17">
        <v>0</v>
      </c>
      <c r="D17" t="s">
        <v>84</v>
      </c>
      <c r="E17">
        <v>2103</v>
      </c>
      <c r="F17">
        <v>2103</v>
      </c>
      <c r="G17"/>
      <c r="H17"/>
      <c r="J17" t="s">
        <v>204</v>
      </c>
      <c r="K17" t="s">
        <v>205</v>
      </c>
      <c r="L17" t="s">
        <v>218</v>
      </c>
      <c r="M17" t="s">
        <v>86</v>
      </c>
      <c r="N17" t="s">
        <v>219</v>
      </c>
      <c r="O17" t="s">
        <v>87</v>
      </c>
      <c r="P17" t="s">
        <v>89</v>
      </c>
      <c r="Q17" t="s">
        <v>90</v>
      </c>
      <c r="R17">
        <v>2026</v>
      </c>
      <c r="S17">
        <v>2026</v>
      </c>
      <c r="T17" t="s">
        <v>88</v>
      </c>
      <c r="U17">
        <v>85</v>
      </c>
      <c r="V17">
        <v>84669</v>
      </c>
      <c r="W17">
        <v>152.16</v>
      </c>
      <c r="X17">
        <v>420.86</v>
      </c>
      <c r="Y17">
        <v>0</v>
      </c>
      <c r="Z17">
        <v>65.209999999999994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12700.35</v>
      </c>
      <c r="AG17">
        <v>320000</v>
      </c>
      <c r="AH17">
        <v>150000</v>
      </c>
      <c r="AI17">
        <v>0</v>
      </c>
      <c r="AJ17">
        <v>150000</v>
      </c>
      <c r="AK17">
        <v>10000</v>
      </c>
      <c r="AL17">
        <v>10000</v>
      </c>
      <c r="AM17" s="42">
        <v>46113</v>
      </c>
      <c r="AN17" s="42">
        <v>46447</v>
      </c>
      <c r="AO17">
        <v>0</v>
      </c>
      <c r="AP17">
        <v>0</v>
      </c>
      <c r="AQ17">
        <v>0</v>
      </c>
      <c r="AR17" s="8">
        <f t="shared" si="0"/>
        <v>2391.0700000000002</v>
      </c>
      <c r="AS17" s="38">
        <f t="shared" si="1"/>
        <v>1797.2716762</v>
      </c>
      <c r="AT17" s="39" t="s">
        <v>861</v>
      </c>
      <c r="AU17" s="40">
        <f>VLOOKUP(N17,'Apólice Endosso'!D:XFD,23,0)</f>
        <v>0</v>
      </c>
      <c r="AV17" s="39" t="str">
        <f>VLOOKUP(N17,'Apólice Endosso'!D:XFD,28,0)</f>
        <v>Padrão (100%) sem blindagem - 150k - Contrato 2025</v>
      </c>
      <c r="AW17" s="41" t="str">
        <f>IF(VLOOKUP(N17,'Apólice Endosso'!D:XFD,47,0)=0,"",VLOOKUP(N17,'Apólice Endosso'!D:XFD,47,0))</f>
        <v/>
      </c>
      <c r="AX17" s="40">
        <f>VLOOKUP(N17,'Apólice Endosso'!D:XFD,30,0)</f>
        <v>5050.3500000000004</v>
      </c>
      <c r="AY17" s="36">
        <v>1809.0308599999998</v>
      </c>
      <c r="AZ17" s="16">
        <v>5050.3500000000004</v>
      </c>
      <c r="BA17" s="16"/>
    </row>
    <row r="18" spans="1:53" x14ac:dyDescent="0.3">
      <c r="A18" t="s">
        <v>85</v>
      </c>
      <c r="B18" s="9">
        <v>46119</v>
      </c>
      <c r="C18">
        <v>0</v>
      </c>
      <c r="D18" t="s">
        <v>84</v>
      </c>
      <c r="E18">
        <v>2103</v>
      </c>
      <c r="F18">
        <v>2103</v>
      </c>
      <c r="G18"/>
      <c r="H18"/>
      <c r="J18" t="s">
        <v>220</v>
      </c>
      <c r="K18" t="s">
        <v>221</v>
      </c>
      <c r="L18" t="s">
        <v>222</v>
      </c>
      <c r="M18" t="s">
        <v>86</v>
      </c>
      <c r="N18" t="s">
        <v>223</v>
      </c>
      <c r="O18" t="s">
        <v>87</v>
      </c>
      <c r="P18" t="s">
        <v>91</v>
      </c>
      <c r="Q18" t="s">
        <v>92</v>
      </c>
      <c r="R18">
        <v>2024</v>
      </c>
      <c r="S18">
        <v>2024</v>
      </c>
      <c r="T18" t="s">
        <v>93</v>
      </c>
      <c r="U18">
        <v>85</v>
      </c>
      <c r="V18">
        <v>0</v>
      </c>
      <c r="W18">
        <v>328.53</v>
      </c>
      <c r="X18">
        <v>2065.1799999999998</v>
      </c>
      <c r="Y18">
        <v>0</v>
      </c>
      <c r="Z18">
        <v>140.80000000000001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620000</v>
      </c>
      <c r="AH18">
        <v>300000</v>
      </c>
      <c r="AI18">
        <v>0</v>
      </c>
      <c r="AJ18">
        <v>300000</v>
      </c>
      <c r="AK18">
        <v>10000</v>
      </c>
      <c r="AL18">
        <v>10000</v>
      </c>
      <c r="AM18" s="42">
        <v>46113</v>
      </c>
      <c r="AN18" s="42">
        <v>46447</v>
      </c>
      <c r="AO18">
        <v>0</v>
      </c>
      <c r="AP18">
        <v>0</v>
      </c>
      <c r="AQ18">
        <v>0</v>
      </c>
      <c r="AR18" s="8">
        <f t="shared" si="0"/>
        <v>5162.63</v>
      </c>
      <c r="AS18" s="38">
        <f t="shared" si="1"/>
        <v>3880.5424657999997</v>
      </c>
      <c r="AT18" s="39" t="s">
        <v>860</v>
      </c>
      <c r="AU18" s="40">
        <f>VLOOKUP(N18,'Apólice Endosso'!D:XFD,23,0)</f>
        <v>0</v>
      </c>
      <c r="AV18" s="39" t="str">
        <f>VLOOKUP(N18,'Apólice Endosso'!D:XFD,28,0)</f>
        <v>Padrão (100%) sem blindagem - 300k - Contrato 2025</v>
      </c>
      <c r="AW18" s="41" t="str">
        <f>IF(VLOOKUP(N18,'Apólice Endosso'!D:XFD,47,0)=0,"",VLOOKUP(N18,'Apólice Endosso'!D:XFD,47,0))</f>
        <v/>
      </c>
      <c r="AX18" s="40">
        <f>VLOOKUP(N18,'Apólice Endosso'!D:XFD,30,0)</f>
        <v>24782.1</v>
      </c>
      <c r="AY18" s="36">
        <v>3715.3694759999994</v>
      </c>
      <c r="AZ18" s="16">
        <v>24782.1</v>
      </c>
      <c r="BA18" s="16"/>
    </row>
    <row r="19" spans="1:53" x14ac:dyDescent="0.3">
      <c r="A19" t="s">
        <v>85</v>
      </c>
      <c r="B19" s="9">
        <v>46119</v>
      </c>
      <c r="C19">
        <v>0</v>
      </c>
      <c r="D19" t="s">
        <v>84</v>
      </c>
      <c r="E19">
        <v>2103</v>
      </c>
      <c r="F19">
        <v>2103</v>
      </c>
      <c r="G19"/>
      <c r="H19"/>
      <c r="J19" t="s">
        <v>220</v>
      </c>
      <c r="K19" t="s">
        <v>221</v>
      </c>
      <c r="L19" t="s">
        <v>224</v>
      </c>
      <c r="M19" t="s">
        <v>86</v>
      </c>
      <c r="N19" t="s">
        <v>225</v>
      </c>
      <c r="O19" t="s">
        <v>87</v>
      </c>
      <c r="P19" t="s">
        <v>91</v>
      </c>
      <c r="Q19" t="s">
        <v>92</v>
      </c>
      <c r="R19">
        <v>2024</v>
      </c>
      <c r="S19">
        <v>2024</v>
      </c>
      <c r="T19" t="s">
        <v>93</v>
      </c>
      <c r="U19">
        <v>85</v>
      </c>
      <c r="V19">
        <v>0</v>
      </c>
      <c r="W19">
        <v>328.53</v>
      </c>
      <c r="X19">
        <v>2065.1799999999998</v>
      </c>
      <c r="Y19">
        <v>0</v>
      </c>
      <c r="Z19">
        <v>140.80000000000001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620000</v>
      </c>
      <c r="AH19">
        <v>300000</v>
      </c>
      <c r="AI19">
        <v>0</v>
      </c>
      <c r="AJ19">
        <v>300000</v>
      </c>
      <c r="AK19">
        <v>10000</v>
      </c>
      <c r="AL19">
        <v>10000</v>
      </c>
      <c r="AM19" s="42">
        <v>46113</v>
      </c>
      <c r="AN19" s="42">
        <v>46447</v>
      </c>
      <c r="AO19">
        <v>0</v>
      </c>
      <c r="AP19">
        <v>0</v>
      </c>
      <c r="AQ19">
        <v>0</v>
      </c>
      <c r="AR19" s="8">
        <f t="shared" si="0"/>
        <v>5162.63</v>
      </c>
      <c r="AS19" s="38">
        <f t="shared" si="1"/>
        <v>3880.5424657999997</v>
      </c>
      <c r="AT19" s="39" t="s">
        <v>860</v>
      </c>
      <c r="AU19" s="40">
        <f>VLOOKUP(N19,'Apólice Endosso'!D:XFD,23,0)</f>
        <v>0</v>
      </c>
      <c r="AV19" s="39" t="str">
        <f>VLOOKUP(N19,'Apólice Endosso'!D:XFD,28,0)</f>
        <v>Padrão (100%) sem blindagem - 300k - Contrato 2025</v>
      </c>
      <c r="AW19" s="41" t="str">
        <f>IF(VLOOKUP(N19,'Apólice Endosso'!D:XFD,47,0)=0,"",VLOOKUP(N19,'Apólice Endosso'!D:XFD,47,0))</f>
        <v/>
      </c>
      <c r="AX19" s="40">
        <f>VLOOKUP(N19,'Apólice Endosso'!D:XFD,30,0)</f>
        <v>24782.1</v>
      </c>
      <c r="AY19" s="36">
        <v>3715.3694759999994</v>
      </c>
      <c r="AZ19" s="16">
        <v>24782.1</v>
      </c>
      <c r="BA19" s="16"/>
    </row>
    <row r="20" spans="1:53" x14ac:dyDescent="0.3">
      <c r="A20" t="s">
        <v>85</v>
      </c>
      <c r="B20" s="9">
        <v>46120</v>
      </c>
      <c r="C20">
        <v>0</v>
      </c>
      <c r="D20" t="s">
        <v>84</v>
      </c>
      <c r="E20">
        <v>2103</v>
      </c>
      <c r="F20">
        <v>2103</v>
      </c>
      <c r="G20"/>
      <c r="H20"/>
      <c r="J20" t="s">
        <v>226</v>
      </c>
      <c r="K20" t="s">
        <v>227</v>
      </c>
      <c r="L20" t="s">
        <v>228</v>
      </c>
      <c r="M20" t="s">
        <v>86</v>
      </c>
      <c r="N20" t="s">
        <v>229</v>
      </c>
      <c r="O20" t="s">
        <v>87</v>
      </c>
      <c r="P20" t="s">
        <v>230</v>
      </c>
      <c r="Q20" t="s">
        <v>231</v>
      </c>
      <c r="R20">
        <v>2026</v>
      </c>
      <c r="S20">
        <v>2026</v>
      </c>
      <c r="T20" t="s">
        <v>232</v>
      </c>
      <c r="U20">
        <v>85</v>
      </c>
      <c r="V20">
        <v>0</v>
      </c>
      <c r="W20">
        <v>334.25</v>
      </c>
      <c r="X20">
        <v>1329.09</v>
      </c>
      <c r="Y20">
        <v>0</v>
      </c>
      <c r="Z20">
        <v>143.25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320000</v>
      </c>
      <c r="AH20">
        <v>150000</v>
      </c>
      <c r="AI20">
        <v>0</v>
      </c>
      <c r="AJ20">
        <v>150000</v>
      </c>
      <c r="AK20">
        <v>10000</v>
      </c>
      <c r="AL20">
        <v>10000</v>
      </c>
      <c r="AM20" s="42">
        <v>46113</v>
      </c>
      <c r="AN20" s="42">
        <v>46447</v>
      </c>
      <c r="AO20">
        <v>0</v>
      </c>
      <c r="AP20">
        <v>0</v>
      </c>
      <c r="AQ20">
        <v>0</v>
      </c>
      <c r="AR20" s="8">
        <f t="shared" si="0"/>
        <v>5252.5</v>
      </c>
      <c r="AS20" s="38">
        <f t="shared" si="1"/>
        <v>3948.0941499999994</v>
      </c>
      <c r="AT20" s="39" t="s">
        <v>169</v>
      </c>
      <c r="AU20" s="40">
        <f>VLOOKUP(N20,'Apólice Endosso'!D:XFD,23,0)</f>
        <v>0</v>
      </c>
      <c r="AV20" s="39" t="str">
        <f>VLOOKUP(N20,'Apólice Endosso'!D:XFD,28,0)</f>
        <v>Padrão (100%) sem blindagem - 150k - Contrato 2025</v>
      </c>
      <c r="AW20" s="41" t="str">
        <f>IF(VLOOKUP(N20,'Apólice Endosso'!D:XFD,47,0)=0,"",VLOOKUP(N20,'Apólice Endosso'!D:XFD,47,0))</f>
        <v/>
      </c>
      <c r="AX20" s="40">
        <f>VLOOKUP(N20,'Apólice Endosso'!D:XFD,30,0)</f>
        <v>15615.9</v>
      </c>
      <c r="AY20" s="36">
        <v>3777.1666660000001</v>
      </c>
      <c r="AZ20" s="16">
        <v>15615.9</v>
      </c>
      <c r="BA20" s="16"/>
    </row>
    <row r="21" spans="1:53" x14ac:dyDescent="0.3">
      <c r="A21" t="s">
        <v>85</v>
      </c>
      <c r="B21" s="9">
        <v>46121</v>
      </c>
      <c r="C21">
        <v>0</v>
      </c>
      <c r="D21" t="s">
        <v>84</v>
      </c>
      <c r="E21">
        <v>2103</v>
      </c>
      <c r="F21">
        <v>2103</v>
      </c>
      <c r="G21"/>
      <c r="H21"/>
      <c r="J21" t="s">
        <v>151</v>
      </c>
      <c r="K21" t="s">
        <v>152</v>
      </c>
      <c r="L21" t="s">
        <v>235</v>
      </c>
      <c r="M21" t="s">
        <v>86</v>
      </c>
      <c r="N21" t="s">
        <v>236</v>
      </c>
      <c r="O21" t="s">
        <v>87</v>
      </c>
      <c r="P21" t="s">
        <v>153</v>
      </c>
      <c r="Q21" t="s">
        <v>162</v>
      </c>
      <c r="R21">
        <v>2026</v>
      </c>
      <c r="S21">
        <v>2026</v>
      </c>
      <c r="T21" t="s">
        <v>156</v>
      </c>
      <c r="U21">
        <v>85</v>
      </c>
      <c r="V21">
        <v>97920</v>
      </c>
      <c r="W21">
        <v>163.68</v>
      </c>
      <c r="X21">
        <v>452.72</v>
      </c>
      <c r="Y21">
        <v>0</v>
      </c>
      <c r="Z21">
        <v>70.150000000000006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14688</v>
      </c>
      <c r="AG21">
        <v>320000</v>
      </c>
      <c r="AH21">
        <v>150000</v>
      </c>
      <c r="AI21">
        <v>0</v>
      </c>
      <c r="AJ21">
        <v>150000</v>
      </c>
      <c r="AK21">
        <v>10000</v>
      </c>
      <c r="AL21">
        <v>10000</v>
      </c>
      <c r="AM21" s="42">
        <v>46113</v>
      </c>
      <c r="AN21" s="42">
        <v>46447</v>
      </c>
      <c r="AO21">
        <v>0</v>
      </c>
      <c r="AP21">
        <v>0</v>
      </c>
      <c r="AQ21">
        <v>0</v>
      </c>
      <c r="AR21" s="8">
        <f t="shared" si="0"/>
        <v>2572.13</v>
      </c>
      <c r="AS21" s="38">
        <f t="shared" si="1"/>
        <v>1933.3672357999999</v>
      </c>
      <c r="AT21" s="39" t="s">
        <v>174</v>
      </c>
      <c r="AU21" s="40">
        <f>VLOOKUP(N21,'Apólice Endosso'!D:XFD,23,0)</f>
        <v>0</v>
      </c>
      <c r="AV21" s="39" t="str">
        <f>VLOOKUP(N21,'Apólice Endosso'!D:XFD,28,0)</f>
        <v>Padrão (100%) sem blindagem - 150k - Contrato 2025</v>
      </c>
      <c r="AW21" s="41" t="str">
        <f>IF(VLOOKUP(N21,'Apólice Endosso'!D:XFD,47,0)=0,"",VLOOKUP(N21,'Apólice Endosso'!D:XFD,47,0))</f>
        <v/>
      </c>
      <c r="AX21" s="40">
        <f>VLOOKUP(N21,'Apólice Endosso'!D:XFD,30,0)</f>
        <v>5432.6</v>
      </c>
      <c r="AY21" s="36">
        <v>1933.5487079999998</v>
      </c>
      <c r="AZ21" s="16">
        <v>5432.6</v>
      </c>
      <c r="BA21" s="16"/>
    </row>
    <row r="22" spans="1:53" x14ac:dyDescent="0.3">
      <c r="A22" t="s">
        <v>85</v>
      </c>
      <c r="B22" s="9">
        <v>46121</v>
      </c>
      <c r="C22">
        <v>0</v>
      </c>
      <c r="D22" t="s">
        <v>84</v>
      </c>
      <c r="E22">
        <v>2103</v>
      </c>
      <c r="F22">
        <v>2103</v>
      </c>
      <c r="G22"/>
      <c r="H22"/>
      <c r="J22" t="s">
        <v>237</v>
      </c>
      <c r="K22" t="s">
        <v>238</v>
      </c>
      <c r="L22" t="s">
        <v>239</v>
      </c>
      <c r="M22" t="s">
        <v>86</v>
      </c>
      <c r="N22" t="s">
        <v>240</v>
      </c>
      <c r="O22" t="s">
        <v>87</v>
      </c>
      <c r="P22" t="s">
        <v>141</v>
      </c>
      <c r="Q22" t="s">
        <v>159</v>
      </c>
      <c r="R22">
        <v>2024</v>
      </c>
      <c r="S22">
        <v>2024</v>
      </c>
      <c r="T22" t="s">
        <v>125</v>
      </c>
      <c r="U22">
        <v>85</v>
      </c>
      <c r="V22">
        <v>0</v>
      </c>
      <c r="W22">
        <v>231.98</v>
      </c>
      <c r="X22">
        <v>1458.29</v>
      </c>
      <c r="Y22">
        <v>0</v>
      </c>
      <c r="Z22">
        <v>99.42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620000</v>
      </c>
      <c r="AH22">
        <v>300000</v>
      </c>
      <c r="AI22">
        <v>0</v>
      </c>
      <c r="AJ22">
        <v>300000</v>
      </c>
      <c r="AK22">
        <v>10000</v>
      </c>
      <c r="AL22">
        <v>10000</v>
      </c>
      <c r="AM22" s="42">
        <v>46113</v>
      </c>
      <c r="AN22" s="42">
        <v>46447</v>
      </c>
      <c r="AO22">
        <v>0</v>
      </c>
      <c r="AP22">
        <v>0</v>
      </c>
      <c r="AQ22">
        <v>0</v>
      </c>
      <c r="AR22" s="8">
        <f t="shared" si="0"/>
        <v>3645.3999999999996</v>
      </c>
      <c r="AS22" s="38">
        <f t="shared" si="1"/>
        <v>2740.1013639999996</v>
      </c>
      <c r="AT22" s="39" t="s">
        <v>122</v>
      </c>
      <c r="AU22" s="40">
        <f>VLOOKUP(N22,'Apólice Endosso'!D:XFD,23,0)</f>
        <v>0</v>
      </c>
      <c r="AV22" s="39" t="str">
        <f>VLOOKUP(N22,'Apólice Endosso'!D:XFD,28,0)</f>
        <v>Padrão (100%) sem blindagem - 300k - Contrato 2025</v>
      </c>
      <c r="AW22" s="41" t="str">
        <f>IF(VLOOKUP(N22,'Apólice Endosso'!D:XFD,47,0)=0,"",VLOOKUP(N22,'Apólice Endosso'!D:XFD,47,0))</f>
        <v/>
      </c>
      <c r="AX22" s="40">
        <f>VLOOKUP(N22,'Apólice Endosso'!D:XFD,30,0)</f>
        <v>21913.45</v>
      </c>
      <c r="AY22" s="36">
        <v>2671.7432559999997</v>
      </c>
      <c r="AZ22" s="16">
        <v>21913.45</v>
      </c>
      <c r="BA22" s="16"/>
    </row>
    <row r="23" spans="1:53" x14ac:dyDescent="0.3">
      <c r="A23" t="s">
        <v>85</v>
      </c>
      <c r="B23" s="9">
        <v>46121</v>
      </c>
      <c r="C23">
        <v>0</v>
      </c>
      <c r="D23" t="s">
        <v>84</v>
      </c>
      <c r="E23">
        <v>2103</v>
      </c>
      <c r="F23">
        <v>2103</v>
      </c>
      <c r="G23"/>
      <c r="H23"/>
      <c r="J23" t="s">
        <v>129</v>
      </c>
      <c r="K23" t="s">
        <v>130</v>
      </c>
      <c r="L23" t="s">
        <v>241</v>
      </c>
      <c r="M23" t="s">
        <v>86</v>
      </c>
      <c r="N23" t="s">
        <v>242</v>
      </c>
      <c r="O23" t="s">
        <v>87</v>
      </c>
      <c r="P23" t="s">
        <v>89</v>
      </c>
      <c r="Q23" t="s">
        <v>90</v>
      </c>
      <c r="R23">
        <v>2026</v>
      </c>
      <c r="S23">
        <v>2026</v>
      </c>
      <c r="T23" t="s">
        <v>88</v>
      </c>
      <c r="U23">
        <v>85</v>
      </c>
      <c r="V23">
        <v>84669</v>
      </c>
      <c r="W23">
        <v>160.88</v>
      </c>
      <c r="X23">
        <v>444.99</v>
      </c>
      <c r="Y23">
        <v>0</v>
      </c>
      <c r="Z23">
        <v>68.95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12700.35</v>
      </c>
      <c r="AG23">
        <v>320000</v>
      </c>
      <c r="AH23">
        <v>150000</v>
      </c>
      <c r="AI23">
        <v>0</v>
      </c>
      <c r="AJ23">
        <v>150000</v>
      </c>
      <c r="AK23">
        <v>10000</v>
      </c>
      <c r="AL23">
        <v>10000</v>
      </c>
      <c r="AM23" s="42">
        <v>46113</v>
      </c>
      <c r="AN23" s="42">
        <v>46447</v>
      </c>
      <c r="AO23">
        <v>0</v>
      </c>
      <c r="AP23">
        <v>0</v>
      </c>
      <c r="AQ23">
        <v>0</v>
      </c>
      <c r="AR23" s="8">
        <f t="shared" si="0"/>
        <v>2528.1299999999997</v>
      </c>
      <c r="AS23" s="38">
        <f t="shared" si="1"/>
        <v>1900.2941957999997</v>
      </c>
      <c r="AT23" s="39" t="s">
        <v>165</v>
      </c>
      <c r="AU23" s="40">
        <f>VLOOKUP(N23,'Apólice Endosso'!D:XFD,23,0)</f>
        <v>0</v>
      </c>
      <c r="AV23" s="39" t="str">
        <f>VLOOKUP(N23,'Apólice Endosso'!D:XFD,28,0)</f>
        <v>Padrão (100%) sem blindagem - 150k - Contrato 2025</v>
      </c>
      <c r="AW23" s="41" t="str">
        <f>IF(VLOOKUP(N23,'Apólice Endosso'!D:XFD,47,0)=0,"",VLOOKUP(N23,'Apólice Endosso'!D:XFD,47,0))</f>
        <v/>
      </c>
      <c r="AX23" s="40">
        <f>VLOOKUP(N23,'Apólice Endosso'!D:XFD,30,0)</f>
        <v>5339.9</v>
      </c>
      <c r="AY23" s="36">
        <v>1903.2675479999998</v>
      </c>
      <c r="AZ23" s="16">
        <v>5339.9</v>
      </c>
      <c r="BA23" s="16"/>
    </row>
    <row r="24" spans="1:53" x14ac:dyDescent="0.3">
      <c r="A24" t="s">
        <v>85</v>
      </c>
      <c r="B24" s="9">
        <v>46121</v>
      </c>
      <c r="C24">
        <v>0</v>
      </c>
      <c r="D24" t="s">
        <v>84</v>
      </c>
      <c r="E24">
        <v>2103</v>
      </c>
      <c r="F24">
        <v>2103</v>
      </c>
      <c r="G24"/>
      <c r="H24"/>
      <c r="J24" t="s">
        <v>145</v>
      </c>
      <c r="K24" t="s">
        <v>146</v>
      </c>
      <c r="L24" t="s">
        <v>243</v>
      </c>
      <c r="M24" t="s">
        <v>86</v>
      </c>
      <c r="N24" t="s">
        <v>244</v>
      </c>
      <c r="O24" t="s">
        <v>87</v>
      </c>
      <c r="P24" t="s">
        <v>89</v>
      </c>
      <c r="Q24" t="s">
        <v>90</v>
      </c>
      <c r="R24">
        <v>2026</v>
      </c>
      <c r="S24">
        <v>2026</v>
      </c>
      <c r="T24" t="s">
        <v>88</v>
      </c>
      <c r="U24">
        <v>85</v>
      </c>
      <c r="V24">
        <v>84669</v>
      </c>
      <c r="W24">
        <v>156.83000000000001</v>
      </c>
      <c r="X24">
        <v>433.8</v>
      </c>
      <c r="Y24">
        <v>0</v>
      </c>
      <c r="Z24">
        <v>67.209999999999994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12700.35</v>
      </c>
      <c r="AG24">
        <v>320000</v>
      </c>
      <c r="AH24">
        <v>150000</v>
      </c>
      <c r="AI24">
        <v>0</v>
      </c>
      <c r="AJ24">
        <v>150000</v>
      </c>
      <c r="AK24">
        <v>10000</v>
      </c>
      <c r="AL24">
        <v>10000</v>
      </c>
      <c r="AM24" s="42">
        <v>46113</v>
      </c>
      <c r="AN24" s="42">
        <v>46447</v>
      </c>
      <c r="AO24">
        <v>0</v>
      </c>
      <c r="AP24">
        <v>0</v>
      </c>
      <c r="AQ24">
        <v>0</v>
      </c>
      <c r="AR24" s="8">
        <f t="shared" si="0"/>
        <v>2464.44</v>
      </c>
      <c r="AS24" s="38">
        <f t="shared" si="1"/>
        <v>1852.4209704</v>
      </c>
      <c r="AT24" s="39" t="s">
        <v>119</v>
      </c>
      <c r="AU24" s="40">
        <f>VLOOKUP(N24,'Apólice Endosso'!D:XFD,23,0)</f>
        <v>0</v>
      </c>
      <c r="AV24" s="39" t="str">
        <f>VLOOKUP(N24,'Apólice Endosso'!D:XFD,28,0)</f>
        <v>Padrão (100%) sem blindagem - 150k - Contrato 2025</v>
      </c>
      <c r="AW24" s="41" t="str">
        <f>IF(VLOOKUP(N24,'Apólice Endosso'!D:XFD,47,0)=0,"",VLOOKUP(N24,'Apólice Endosso'!D:XFD,47,0))</f>
        <v/>
      </c>
      <c r="AX24" s="40">
        <f>VLOOKUP(N24,'Apólice Endosso'!D:XFD,30,0)</f>
        <v>5205.55</v>
      </c>
      <c r="AY24" s="36">
        <v>1859.4779840000001</v>
      </c>
      <c r="AZ24" s="16">
        <v>5205.55</v>
      </c>
      <c r="BA24" s="16"/>
    </row>
    <row r="25" spans="1:53" x14ac:dyDescent="0.3">
      <c r="A25" t="s">
        <v>85</v>
      </c>
      <c r="B25" s="9">
        <v>46121</v>
      </c>
      <c r="C25">
        <v>0</v>
      </c>
      <c r="D25" t="s">
        <v>84</v>
      </c>
      <c r="E25">
        <v>2103</v>
      </c>
      <c r="F25">
        <v>2103</v>
      </c>
      <c r="G25"/>
      <c r="H25"/>
      <c r="J25" t="s">
        <v>204</v>
      </c>
      <c r="K25" t="s">
        <v>205</v>
      </c>
      <c r="L25" t="s">
        <v>245</v>
      </c>
      <c r="M25" t="s">
        <v>86</v>
      </c>
      <c r="N25" t="s">
        <v>246</v>
      </c>
      <c r="O25" t="s">
        <v>87</v>
      </c>
      <c r="P25" t="s">
        <v>89</v>
      </c>
      <c r="Q25" t="s">
        <v>90</v>
      </c>
      <c r="R25">
        <v>2026</v>
      </c>
      <c r="S25">
        <v>2026</v>
      </c>
      <c r="T25" t="s">
        <v>88</v>
      </c>
      <c r="U25">
        <v>85</v>
      </c>
      <c r="V25">
        <v>84669</v>
      </c>
      <c r="W25">
        <v>152.16</v>
      </c>
      <c r="X25">
        <v>420.86</v>
      </c>
      <c r="Y25">
        <v>0</v>
      </c>
      <c r="Z25">
        <v>65.209999999999994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12700.35</v>
      </c>
      <c r="AG25">
        <v>320000</v>
      </c>
      <c r="AH25">
        <v>150000</v>
      </c>
      <c r="AI25">
        <v>0</v>
      </c>
      <c r="AJ25">
        <v>150000</v>
      </c>
      <c r="AK25">
        <v>10000</v>
      </c>
      <c r="AL25">
        <v>10000</v>
      </c>
      <c r="AM25" s="42">
        <v>46113</v>
      </c>
      <c r="AN25" s="42">
        <v>46447</v>
      </c>
      <c r="AO25">
        <v>0</v>
      </c>
      <c r="AP25">
        <v>0</v>
      </c>
      <c r="AQ25">
        <v>0</v>
      </c>
      <c r="AR25" s="8">
        <f t="shared" si="0"/>
        <v>2391.0700000000002</v>
      </c>
      <c r="AS25" s="38">
        <f t="shared" si="1"/>
        <v>1797.2716762</v>
      </c>
      <c r="AT25" s="39" t="s">
        <v>861</v>
      </c>
      <c r="AU25" s="40">
        <f>VLOOKUP(N25,'Apólice Endosso'!D:XFD,23,0)</f>
        <v>0</v>
      </c>
      <c r="AV25" s="39" t="str">
        <f>VLOOKUP(N25,'Apólice Endosso'!D:XFD,28,0)</f>
        <v>Padrão (100%) sem blindagem - 150k - Contrato 2025</v>
      </c>
      <c r="AW25" s="41" t="str">
        <f>IF(VLOOKUP(N25,'Apólice Endosso'!D:XFD,47,0)=0,"",VLOOKUP(N25,'Apólice Endosso'!D:XFD,47,0))</f>
        <v/>
      </c>
      <c r="AX25" s="40">
        <f>VLOOKUP(N25,'Apólice Endosso'!D:XFD,30,0)</f>
        <v>5050.3500000000004</v>
      </c>
      <c r="AY25" s="36">
        <v>1809.0308599999998</v>
      </c>
      <c r="AZ25" s="16">
        <v>5050.3500000000004</v>
      </c>
      <c r="BA25" s="16"/>
    </row>
    <row r="26" spans="1:53" x14ac:dyDescent="0.3">
      <c r="A26" t="s">
        <v>85</v>
      </c>
      <c r="B26" s="9">
        <v>46121</v>
      </c>
      <c r="C26">
        <v>0</v>
      </c>
      <c r="D26" t="s">
        <v>84</v>
      </c>
      <c r="E26">
        <v>2103</v>
      </c>
      <c r="F26">
        <v>2103</v>
      </c>
      <c r="G26"/>
      <c r="H26"/>
      <c r="J26" t="s">
        <v>204</v>
      </c>
      <c r="K26" t="s">
        <v>205</v>
      </c>
      <c r="L26" t="s">
        <v>247</v>
      </c>
      <c r="M26" t="s">
        <v>86</v>
      </c>
      <c r="N26" t="s">
        <v>248</v>
      </c>
      <c r="O26" t="s">
        <v>87</v>
      </c>
      <c r="P26" t="s">
        <v>89</v>
      </c>
      <c r="Q26" t="s">
        <v>90</v>
      </c>
      <c r="R26">
        <v>2026</v>
      </c>
      <c r="S26">
        <v>2026</v>
      </c>
      <c r="T26" t="s">
        <v>88</v>
      </c>
      <c r="U26">
        <v>85</v>
      </c>
      <c r="V26">
        <v>84669</v>
      </c>
      <c r="W26">
        <v>152.16</v>
      </c>
      <c r="X26">
        <v>420.86</v>
      </c>
      <c r="Y26">
        <v>0</v>
      </c>
      <c r="Z26">
        <v>65.209999999999994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12700.35</v>
      </c>
      <c r="AG26">
        <v>320000</v>
      </c>
      <c r="AH26">
        <v>150000</v>
      </c>
      <c r="AI26">
        <v>0</v>
      </c>
      <c r="AJ26">
        <v>150000</v>
      </c>
      <c r="AK26">
        <v>10000</v>
      </c>
      <c r="AL26">
        <v>10000</v>
      </c>
      <c r="AM26" s="42">
        <v>46113</v>
      </c>
      <c r="AN26" s="42">
        <v>46447</v>
      </c>
      <c r="AO26">
        <v>0</v>
      </c>
      <c r="AP26">
        <v>0</v>
      </c>
      <c r="AQ26">
        <v>0</v>
      </c>
      <c r="AR26" s="8">
        <f t="shared" si="0"/>
        <v>2391.0700000000002</v>
      </c>
      <c r="AS26" s="38">
        <f t="shared" si="1"/>
        <v>1797.2716762</v>
      </c>
      <c r="AT26" s="39" t="s">
        <v>861</v>
      </c>
      <c r="AU26" s="40">
        <f>VLOOKUP(N26,'Apólice Endosso'!D:XFD,23,0)</f>
        <v>0</v>
      </c>
      <c r="AV26" s="39" t="str">
        <f>VLOOKUP(N26,'Apólice Endosso'!D:XFD,28,0)</f>
        <v>Padrão (100%) sem blindagem - 150k - Contrato 2025</v>
      </c>
      <c r="AW26" s="41" t="str">
        <f>IF(VLOOKUP(N26,'Apólice Endosso'!D:XFD,47,0)=0,"",VLOOKUP(N26,'Apólice Endosso'!D:XFD,47,0))</f>
        <v/>
      </c>
      <c r="AX26" s="40">
        <f>VLOOKUP(N26,'Apólice Endosso'!D:XFD,30,0)</f>
        <v>5050.3500000000004</v>
      </c>
      <c r="AY26" s="36">
        <v>1809.0308599999998</v>
      </c>
      <c r="AZ26" s="16">
        <v>5050.3500000000004</v>
      </c>
      <c r="BA26" s="16"/>
    </row>
    <row r="27" spans="1:53" x14ac:dyDescent="0.3">
      <c r="A27" t="s">
        <v>85</v>
      </c>
      <c r="B27" s="9">
        <v>46122</v>
      </c>
      <c r="C27">
        <v>0</v>
      </c>
      <c r="D27" t="s">
        <v>84</v>
      </c>
      <c r="E27">
        <v>2103</v>
      </c>
      <c r="F27">
        <v>2103</v>
      </c>
      <c r="G27"/>
      <c r="H27"/>
      <c r="J27" t="s">
        <v>97</v>
      </c>
      <c r="K27" t="s">
        <v>98</v>
      </c>
      <c r="L27" t="s">
        <v>249</v>
      </c>
      <c r="M27" t="s">
        <v>86</v>
      </c>
      <c r="N27" t="s">
        <v>250</v>
      </c>
      <c r="O27" t="s">
        <v>87</v>
      </c>
      <c r="P27" t="s">
        <v>99</v>
      </c>
      <c r="Q27" t="s">
        <v>100</v>
      </c>
      <c r="R27">
        <v>2026</v>
      </c>
      <c r="S27">
        <v>2026</v>
      </c>
      <c r="T27" t="s">
        <v>101</v>
      </c>
      <c r="U27">
        <v>85</v>
      </c>
      <c r="V27">
        <v>133248</v>
      </c>
      <c r="W27">
        <v>139.63</v>
      </c>
      <c r="X27">
        <v>587.41999999999996</v>
      </c>
      <c r="Y27">
        <v>0</v>
      </c>
      <c r="Z27">
        <v>59.84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19987.2</v>
      </c>
      <c r="AG27">
        <v>2220000</v>
      </c>
      <c r="AH27">
        <v>1000000</v>
      </c>
      <c r="AI27">
        <v>200000</v>
      </c>
      <c r="AJ27">
        <v>1000000</v>
      </c>
      <c r="AK27">
        <v>10000</v>
      </c>
      <c r="AL27">
        <v>10000</v>
      </c>
      <c r="AM27" s="42">
        <v>46113</v>
      </c>
      <c r="AN27" s="42">
        <v>46447</v>
      </c>
      <c r="AO27">
        <v>0</v>
      </c>
      <c r="AP27">
        <v>0</v>
      </c>
      <c r="AQ27">
        <v>0</v>
      </c>
      <c r="AR27" s="8">
        <f t="shared" si="0"/>
        <v>2194.17</v>
      </c>
      <c r="AS27" s="38">
        <f t="shared" si="1"/>
        <v>1649.2698221999999</v>
      </c>
      <c r="AT27" s="39" t="s">
        <v>121</v>
      </c>
      <c r="AU27" s="40">
        <f>VLOOKUP(N27,'Apólice Endosso'!D:XFD,23,0)</f>
        <v>0</v>
      </c>
      <c r="AV27" s="39" t="str">
        <f>VLOOKUP(N27,'Apólice Endosso'!D:XFD,28,0)</f>
        <v>Padrão (100%) sem blindagem - 1M - Contrato 2025</v>
      </c>
      <c r="AW27" s="41" t="str">
        <f>IF(VLOOKUP(N27,'Apólice Endosso'!D:XFD,47,0)=0,"",VLOOKUP(N27,'Apólice Endosso'!D:XFD,47,0))</f>
        <v/>
      </c>
      <c r="AX27" s="40">
        <f>VLOOKUP(N27,'Apólice Endosso'!D:XFD,30,0)</f>
        <v>7049</v>
      </c>
      <c r="AY27" s="36">
        <v>1673.5924660000003</v>
      </c>
      <c r="AZ27" s="16">
        <v>7049</v>
      </c>
      <c r="BA27" s="16"/>
    </row>
    <row r="28" spans="1:53" x14ac:dyDescent="0.3">
      <c r="A28" t="s">
        <v>85</v>
      </c>
      <c r="B28" s="9">
        <v>46122</v>
      </c>
      <c r="C28">
        <v>0</v>
      </c>
      <c r="D28" t="s">
        <v>84</v>
      </c>
      <c r="E28">
        <v>2103</v>
      </c>
      <c r="F28">
        <v>2103</v>
      </c>
      <c r="G28"/>
      <c r="H28"/>
      <c r="J28" t="s">
        <v>97</v>
      </c>
      <c r="K28" t="s">
        <v>98</v>
      </c>
      <c r="L28" t="s">
        <v>251</v>
      </c>
      <c r="M28" t="s">
        <v>86</v>
      </c>
      <c r="N28" t="s">
        <v>252</v>
      </c>
      <c r="O28" t="s">
        <v>87</v>
      </c>
      <c r="P28" t="s">
        <v>99</v>
      </c>
      <c r="Q28" t="s">
        <v>100</v>
      </c>
      <c r="R28">
        <v>2026</v>
      </c>
      <c r="S28">
        <v>2026</v>
      </c>
      <c r="T28" t="s">
        <v>101</v>
      </c>
      <c r="U28">
        <v>85</v>
      </c>
      <c r="V28">
        <v>133248</v>
      </c>
      <c r="W28">
        <v>139.63</v>
      </c>
      <c r="X28">
        <v>587.41999999999996</v>
      </c>
      <c r="Y28">
        <v>0</v>
      </c>
      <c r="Z28">
        <v>59.84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19987.2</v>
      </c>
      <c r="AG28">
        <v>2220000</v>
      </c>
      <c r="AH28">
        <v>1000000</v>
      </c>
      <c r="AI28">
        <v>200000</v>
      </c>
      <c r="AJ28">
        <v>1000000</v>
      </c>
      <c r="AK28">
        <v>10000</v>
      </c>
      <c r="AL28">
        <v>10000</v>
      </c>
      <c r="AM28" s="42">
        <v>46113</v>
      </c>
      <c r="AN28" s="42">
        <v>46447</v>
      </c>
      <c r="AO28">
        <v>0</v>
      </c>
      <c r="AP28">
        <v>0</v>
      </c>
      <c r="AQ28">
        <v>0</v>
      </c>
      <c r="AR28" s="8">
        <f t="shared" si="0"/>
        <v>2194.17</v>
      </c>
      <c r="AS28" s="38">
        <f t="shared" si="1"/>
        <v>1649.2698221999999</v>
      </c>
      <c r="AT28" s="39" t="s">
        <v>121</v>
      </c>
      <c r="AU28" s="40">
        <f>VLOOKUP(N28,'Apólice Endosso'!D:XFD,23,0)</f>
        <v>0</v>
      </c>
      <c r="AV28" s="39" t="str">
        <f>VLOOKUP(N28,'Apólice Endosso'!D:XFD,28,0)</f>
        <v>Padrão (100%) sem blindagem - 1M - Contrato 2025</v>
      </c>
      <c r="AW28" s="41" t="str">
        <f>IF(VLOOKUP(N28,'Apólice Endosso'!D:XFD,47,0)=0,"",VLOOKUP(N28,'Apólice Endosso'!D:XFD,47,0))</f>
        <v/>
      </c>
      <c r="AX28" s="40">
        <f>VLOOKUP(N28,'Apólice Endosso'!D:XFD,30,0)</f>
        <v>7049</v>
      </c>
      <c r="AY28" s="36">
        <v>1673.5924660000003</v>
      </c>
      <c r="AZ28" s="16">
        <v>7049</v>
      </c>
      <c r="BA28" s="16"/>
    </row>
    <row r="29" spans="1:53" x14ac:dyDescent="0.3">
      <c r="A29" t="s">
        <v>85</v>
      </c>
      <c r="B29" s="9">
        <v>46122</v>
      </c>
      <c r="C29">
        <v>0</v>
      </c>
      <c r="D29" t="s">
        <v>84</v>
      </c>
      <c r="E29">
        <v>2103</v>
      </c>
      <c r="F29">
        <v>2103</v>
      </c>
      <c r="G29"/>
      <c r="H29"/>
      <c r="J29" t="s">
        <v>97</v>
      </c>
      <c r="K29" t="s">
        <v>98</v>
      </c>
      <c r="L29" t="s">
        <v>253</v>
      </c>
      <c r="M29" t="s">
        <v>86</v>
      </c>
      <c r="N29" t="s">
        <v>254</v>
      </c>
      <c r="O29" t="s">
        <v>87</v>
      </c>
      <c r="P29" t="s">
        <v>99</v>
      </c>
      <c r="Q29" t="s">
        <v>100</v>
      </c>
      <c r="R29">
        <v>2026</v>
      </c>
      <c r="S29">
        <v>2026</v>
      </c>
      <c r="T29" t="s">
        <v>101</v>
      </c>
      <c r="U29">
        <v>85</v>
      </c>
      <c r="V29">
        <v>133248</v>
      </c>
      <c r="W29">
        <v>139.63</v>
      </c>
      <c r="X29">
        <v>587.41999999999996</v>
      </c>
      <c r="Y29">
        <v>0</v>
      </c>
      <c r="Z29">
        <v>59.84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19987.2</v>
      </c>
      <c r="AG29">
        <v>2220000</v>
      </c>
      <c r="AH29">
        <v>1000000</v>
      </c>
      <c r="AI29">
        <v>200000</v>
      </c>
      <c r="AJ29">
        <v>1000000</v>
      </c>
      <c r="AK29">
        <v>10000</v>
      </c>
      <c r="AL29">
        <v>10000</v>
      </c>
      <c r="AM29" s="42">
        <v>46113</v>
      </c>
      <c r="AN29" s="42">
        <v>46447</v>
      </c>
      <c r="AO29">
        <v>0</v>
      </c>
      <c r="AP29">
        <v>0</v>
      </c>
      <c r="AQ29">
        <v>0</v>
      </c>
      <c r="AR29" s="8">
        <f t="shared" si="0"/>
        <v>2194.17</v>
      </c>
      <c r="AS29" s="38">
        <f t="shared" si="1"/>
        <v>1649.2698221999999</v>
      </c>
      <c r="AT29" s="39" t="s">
        <v>121</v>
      </c>
      <c r="AU29" s="40">
        <f>VLOOKUP(N29,'Apólice Endosso'!D:XFD,23,0)</f>
        <v>0</v>
      </c>
      <c r="AV29" s="39" t="str">
        <f>VLOOKUP(N29,'Apólice Endosso'!D:XFD,28,0)</f>
        <v>Padrão (100%) sem blindagem - 1M - Contrato 2025</v>
      </c>
      <c r="AW29" s="41" t="str">
        <f>IF(VLOOKUP(N29,'Apólice Endosso'!D:XFD,47,0)=0,"",VLOOKUP(N29,'Apólice Endosso'!D:XFD,47,0))</f>
        <v/>
      </c>
      <c r="AX29" s="40">
        <f>VLOOKUP(N29,'Apólice Endosso'!D:XFD,30,0)</f>
        <v>7049</v>
      </c>
      <c r="AY29" s="36">
        <v>1673.5924660000003</v>
      </c>
      <c r="AZ29" s="16">
        <v>7049</v>
      </c>
      <c r="BA29" s="16"/>
    </row>
    <row r="30" spans="1:53" x14ac:dyDescent="0.3">
      <c r="A30" t="s">
        <v>85</v>
      </c>
      <c r="B30" s="9">
        <v>46122</v>
      </c>
      <c r="C30">
        <v>0</v>
      </c>
      <c r="D30" t="s">
        <v>84</v>
      </c>
      <c r="E30">
        <v>2103</v>
      </c>
      <c r="F30">
        <v>2103</v>
      </c>
      <c r="G30"/>
      <c r="H30"/>
      <c r="J30" t="s">
        <v>97</v>
      </c>
      <c r="K30" t="s">
        <v>98</v>
      </c>
      <c r="L30" t="s">
        <v>255</v>
      </c>
      <c r="M30" t="s">
        <v>86</v>
      </c>
      <c r="N30" t="s">
        <v>256</v>
      </c>
      <c r="O30" t="s">
        <v>87</v>
      </c>
      <c r="P30" t="s">
        <v>99</v>
      </c>
      <c r="Q30" t="s">
        <v>100</v>
      </c>
      <c r="R30">
        <v>2026</v>
      </c>
      <c r="S30">
        <v>2026</v>
      </c>
      <c r="T30" t="s">
        <v>101</v>
      </c>
      <c r="U30">
        <v>85</v>
      </c>
      <c r="V30">
        <v>133248</v>
      </c>
      <c r="W30">
        <v>139.63</v>
      </c>
      <c r="X30">
        <v>587.41999999999996</v>
      </c>
      <c r="Y30">
        <v>0</v>
      </c>
      <c r="Z30">
        <v>59.84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19987.2</v>
      </c>
      <c r="AG30">
        <v>2220000</v>
      </c>
      <c r="AH30">
        <v>1000000</v>
      </c>
      <c r="AI30">
        <v>200000</v>
      </c>
      <c r="AJ30">
        <v>1000000</v>
      </c>
      <c r="AK30">
        <v>10000</v>
      </c>
      <c r="AL30">
        <v>10000</v>
      </c>
      <c r="AM30" s="42">
        <v>46113</v>
      </c>
      <c r="AN30" s="42">
        <v>46447</v>
      </c>
      <c r="AO30">
        <v>0</v>
      </c>
      <c r="AP30">
        <v>0</v>
      </c>
      <c r="AQ30">
        <v>0</v>
      </c>
      <c r="AR30" s="8">
        <f t="shared" si="0"/>
        <v>2194.17</v>
      </c>
      <c r="AS30" s="38">
        <f t="shared" si="1"/>
        <v>1649.2698221999999</v>
      </c>
      <c r="AT30" s="39" t="s">
        <v>121</v>
      </c>
      <c r="AU30" s="40">
        <f>VLOOKUP(N30,'Apólice Endosso'!D:XFD,23,0)</f>
        <v>0</v>
      </c>
      <c r="AV30" s="39" t="str">
        <f>VLOOKUP(N30,'Apólice Endosso'!D:XFD,28,0)</f>
        <v>Padrão (100%) sem blindagem - 1M - Contrato 2025</v>
      </c>
      <c r="AW30" s="41" t="str">
        <f>IF(VLOOKUP(N30,'Apólice Endosso'!D:XFD,47,0)=0,"",VLOOKUP(N30,'Apólice Endosso'!D:XFD,47,0))</f>
        <v/>
      </c>
      <c r="AX30" s="40">
        <f>VLOOKUP(N30,'Apólice Endosso'!D:XFD,30,0)</f>
        <v>7049</v>
      </c>
      <c r="AY30" s="36">
        <v>1673.5924660000003</v>
      </c>
      <c r="AZ30" s="16">
        <v>7049</v>
      </c>
      <c r="BA30" s="16"/>
    </row>
    <row r="31" spans="1:53" x14ac:dyDescent="0.3">
      <c r="A31" t="s">
        <v>85</v>
      </c>
      <c r="B31" s="9">
        <v>46122</v>
      </c>
      <c r="C31">
        <v>0</v>
      </c>
      <c r="D31" t="s">
        <v>84</v>
      </c>
      <c r="E31">
        <v>2103</v>
      </c>
      <c r="F31">
        <v>2103</v>
      </c>
      <c r="G31"/>
      <c r="H31"/>
      <c r="J31" t="s">
        <v>97</v>
      </c>
      <c r="K31" t="s">
        <v>98</v>
      </c>
      <c r="L31" t="s">
        <v>257</v>
      </c>
      <c r="M31" t="s">
        <v>86</v>
      </c>
      <c r="N31" t="s">
        <v>258</v>
      </c>
      <c r="O31" t="s">
        <v>87</v>
      </c>
      <c r="P31" t="s">
        <v>99</v>
      </c>
      <c r="Q31" t="s">
        <v>100</v>
      </c>
      <c r="R31">
        <v>2026</v>
      </c>
      <c r="S31">
        <v>2026</v>
      </c>
      <c r="T31" t="s">
        <v>101</v>
      </c>
      <c r="U31">
        <v>85</v>
      </c>
      <c r="V31">
        <v>133248</v>
      </c>
      <c r="W31">
        <v>139.63</v>
      </c>
      <c r="X31">
        <v>587.41999999999996</v>
      </c>
      <c r="Y31">
        <v>0</v>
      </c>
      <c r="Z31">
        <v>59.84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19987.2</v>
      </c>
      <c r="AG31">
        <v>2220000</v>
      </c>
      <c r="AH31">
        <v>1000000</v>
      </c>
      <c r="AI31">
        <v>200000</v>
      </c>
      <c r="AJ31">
        <v>1000000</v>
      </c>
      <c r="AK31">
        <v>10000</v>
      </c>
      <c r="AL31">
        <v>10000</v>
      </c>
      <c r="AM31" s="42">
        <v>46113</v>
      </c>
      <c r="AN31" s="42">
        <v>46447</v>
      </c>
      <c r="AO31">
        <v>0</v>
      </c>
      <c r="AP31">
        <v>0</v>
      </c>
      <c r="AQ31">
        <v>0</v>
      </c>
      <c r="AR31" s="8">
        <f t="shared" si="0"/>
        <v>2194.17</v>
      </c>
      <c r="AS31" s="38">
        <f t="shared" si="1"/>
        <v>1649.2698221999999</v>
      </c>
      <c r="AT31" s="39" t="s">
        <v>121</v>
      </c>
      <c r="AU31" s="40">
        <f>VLOOKUP(N31,'Apólice Endosso'!D:XFD,23,0)</f>
        <v>0</v>
      </c>
      <c r="AV31" s="39" t="str">
        <f>VLOOKUP(N31,'Apólice Endosso'!D:XFD,28,0)</f>
        <v>Padrão (100%) sem blindagem - 1M - Contrato 2025</v>
      </c>
      <c r="AW31" s="41" t="str">
        <f>IF(VLOOKUP(N31,'Apólice Endosso'!D:XFD,47,0)=0,"",VLOOKUP(N31,'Apólice Endosso'!D:XFD,47,0))</f>
        <v/>
      </c>
      <c r="AX31" s="40">
        <f>VLOOKUP(N31,'Apólice Endosso'!D:XFD,30,0)</f>
        <v>7049</v>
      </c>
      <c r="AY31" s="36">
        <v>1673.5924660000003</v>
      </c>
      <c r="AZ31" s="16">
        <v>7049</v>
      </c>
      <c r="BA31" s="16"/>
    </row>
    <row r="32" spans="1:53" x14ac:dyDescent="0.3">
      <c r="A32" t="s">
        <v>85</v>
      </c>
      <c r="B32" s="9">
        <v>46122</v>
      </c>
      <c r="C32">
        <v>0</v>
      </c>
      <c r="D32" t="s">
        <v>84</v>
      </c>
      <c r="E32">
        <v>2103</v>
      </c>
      <c r="F32">
        <v>2103</v>
      </c>
      <c r="G32"/>
      <c r="H32"/>
      <c r="J32" t="s">
        <v>97</v>
      </c>
      <c r="K32" t="s">
        <v>98</v>
      </c>
      <c r="L32" t="s">
        <v>259</v>
      </c>
      <c r="M32" t="s">
        <v>86</v>
      </c>
      <c r="N32" t="s">
        <v>260</v>
      </c>
      <c r="O32" t="s">
        <v>87</v>
      </c>
      <c r="P32" t="s">
        <v>99</v>
      </c>
      <c r="Q32" t="s">
        <v>100</v>
      </c>
      <c r="R32">
        <v>2026</v>
      </c>
      <c r="S32">
        <v>2026</v>
      </c>
      <c r="T32" t="s">
        <v>101</v>
      </c>
      <c r="U32">
        <v>85</v>
      </c>
      <c r="V32">
        <v>133248</v>
      </c>
      <c r="W32">
        <v>139.63</v>
      </c>
      <c r="X32">
        <v>587.41999999999996</v>
      </c>
      <c r="Y32">
        <v>0</v>
      </c>
      <c r="Z32">
        <v>59.84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19987.2</v>
      </c>
      <c r="AG32">
        <v>2220000</v>
      </c>
      <c r="AH32">
        <v>1000000</v>
      </c>
      <c r="AI32">
        <v>200000</v>
      </c>
      <c r="AJ32">
        <v>1000000</v>
      </c>
      <c r="AK32">
        <v>10000</v>
      </c>
      <c r="AL32">
        <v>10000</v>
      </c>
      <c r="AM32" s="42">
        <v>46113</v>
      </c>
      <c r="AN32" s="42">
        <v>46447</v>
      </c>
      <c r="AO32">
        <v>0</v>
      </c>
      <c r="AP32">
        <v>0</v>
      </c>
      <c r="AQ32">
        <v>0</v>
      </c>
      <c r="AR32" s="8">
        <f t="shared" si="0"/>
        <v>2194.17</v>
      </c>
      <c r="AS32" s="38">
        <f t="shared" si="1"/>
        <v>1649.2698221999999</v>
      </c>
      <c r="AT32" s="39" t="s">
        <v>121</v>
      </c>
      <c r="AU32" s="40">
        <f>VLOOKUP(N32,'Apólice Endosso'!D:XFD,23,0)</f>
        <v>0</v>
      </c>
      <c r="AV32" s="39" t="str">
        <f>VLOOKUP(N32,'Apólice Endosso'!D:XFD,28,0)</f>
        <v>Padrão (100%) sem blindagem - 1M - Contrato 2025</v>
      </c>
      <c r="AW32" s="41" t="str">
        <f>IF(VLOOKUP(N32,'Apólice Endosso'!D:XFD,47,0)=0,"",VLOOKUP(N32,'Apólice Endosso'!D:XFD,47,0))</f>
        <v/>
      </c>
      <c r="AX32" s="40">
        <f>VLOOKUP(N32,'Apólice Endosso'!D:XFD,30,0)</f>
        <v>7049</v>
      </c>
      <c r="AY32" s="36">
        <v>1673.5924660000003</v>
      </c>
      <c r="AZ32" s="16">
        <v>7049</v>
      </c>
      <c r="BA32" s="16"/>
    </row>
    <row r="33" spans="1:53" x14ac:dyDescent="0.3">
      <c r="A33" t="s">
        <v>85</v>
      </c>
      <c r="B33" s="9">
        <v>46122</v>
      </c>
      <c r="C33">
        <v>0</v>
      </c>
      <c r="D33" t="s">
        <v>84</v>
      </c>
      <c r="E33">
        <v>2103</v>
      </c>
      <c r="F33">
        <v>2103</v>
      </c>
      <c r="G33"/>
      <c r="H33"/>
      <c r="J33" t="s">
        <v>97</v>
      </c>
      <c r="K33" t="s">
        <v>98</v>
      </c>
      <c r="L33" t="s">
        <v>261</v>
      </c>
      <c r="M33" t="s">
        <v>86</v>
      </c>
      <c r="N33" t="s">
        <v>262</v>
      </c>
      <c r="O33" t="s">
        <v>87</v>
      </c>
      <c r="P33" t="s">
        <v>99</v>
      </c>
      <c r="Q33" t="s">
        <v>100</v>
      </c>
      <c r="R33">
        <v>2026</v>
      </c>
      <c r="S33">
        <v>2026</v>
      </c>
      <c r="T33" t="s">
        <v>101</v>
      </c>
      <c r="U33">
        <v>85</v>
      </c>
      <c r="V33">
        <v>133248</v>
      </c>
      <c r="W33">
        <v>139.63</v>
      </c>
      <c r="X33">
        <v>587.41999999999996</v>
      </c>
      <c r="Y33">
        <v>0</v>
      </c>
      <c r="Z33">
        <v>59.84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19987.2</v>
      </c>
      <c r="AG33">
        <v>2220000</v>
      </c>
      <c r="AH33">
        <v>1000000</v>
      </c>
      <c r="AI33">
        <v>200000</v>
      </c>
      <c r="AJ33">
        <v>1000000</v>
      </c>
      <c r="AK33">
        <v>10000</v>
      </c>
      <c r="AL33">
        <v>10000</v>
      </c>
      <c r="AM33" s="42">
        <v>46113</v>
      </c>
      <c r="AN33" s="42">
        <v>46447</v>
      </c>
      <c r="AO33">
        <v>0</v>
      </c>
      <c r="AP33">
        <v>0</v>
      </c>
      <c r="AQ33">
        <v>0</v>
      </c>
      <c r="AR33" s="8">
        <f t="shared" si="0"/>
        <v>2194.17</v>
      </c>
      <c r="AS33" s="38">
        <f t="shared" si="1"/>
        <v>1649.2698221999999</v>
      </c>
      <c r="AT33" s="39" t="s">
        <v>121</v>
      </c>
      <c r="AU33" s="40">
        <f>VLOOKUP(N33,'Apólice Endosso'!D:XFD,23,0)</f>
        <v>0</v>
      </c>
      <c r="AV33" s="39" t="str">
        <f>VLOOKUP(N33,'Apólice Endosso'!D:XFD,28,0)</f>
        <v>Padrão (100%) sem blindagem - 1M - Contrato 2025</v>
      </c>
      <c r="AW33" s="41" t="str">
        <f>IF(VLOOKUP(N33,'Apólice Endosso'!D:XFD,47,0)=0,"",VLOOKUP(N33,'Apólice Endosso'!D:XFD,47,0))</f>
        <v/>
      </c>
      <c r="AX33" s="40">
        <f>VLOOKUP(N33,'Apólice Endosso'!D:XFD,30,0)</f>
        <v>7049</v>
      </c>
      <c r="AY33" s="36">
        <v>1673.5924660000003</v>
      </c>
      <c r="AZ33" s="16">
        <v>7049</v>
      </c>
      <c r="BA33" s="16"/>
    </row>
    <row r="34" spans="1:53" x14ac:dyDescent="0.3">
      <c r="A34" t="s">
        <v>85</v>
      </c>
      <c r="B34" s="9">
        <v>46122</v>
      </c>
      <c r="C34">
        <v>0</v>
      </c>
      <c r="D34" t="s">
        <v>84</v>
      </c>
      <c r="E34">
        <v>2103</v>
      </c>
      <c r="F34">
        <v>2103</v>
      </c>
      <c r="G34"/>
      <c r="H34"/>
      <c r="J34" t="s">
        <v>97</v>
      </c>
      <c r="K34" t="s">
        <v>98</v>
      </c>
      <c r="L34" t="s">
        <v>263</v>
      </c>
      <c r="M34" t="s">
        <v>86</v>
      </c>
      <c r="N34" t="s">
        <v>264</v>
      </c>
      <c r="O34" t="s">
        <v>87</v>
      </c>
      <c r="P34" t="s">
        <v>99</v>
      </c>
      <c r="Q34" t="s">
        <v>100</v>
      </c>
      <c r="R34">
        <v>2026</v>
      </c>
      <c r="S34">
        <v>2026</v>
      </c>
      <c r="T34" t="s">
        <v>101</v>
      </c>
      <c r="U34">
        <v>85</v>
      </c>
      <c r="V34">
        <v>133248</v>
      </c>
      <c r="W34">
        <v>139.63</v>
      </c>
      <c r="X34">
        <v>587.41999999999996</v>
      </c>
      <c r="Y34">
        <v>0</v>
      </c>
      <c r="Z34">
        <v>59.84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19987.2</v>
      </c>
      <c r="AG34">
        <v>2220000</v>
      </c>
      <c r="AH34">
        <v>1000000</v>
      </c>
      <c r="AI34">
        <v>200000</v>
      </c>
      <c r="AJ34">
        <v>1000000</v>
      </c>
      <c r="AK34">
        <v>10000</v>
      </c>
      <c r="AL34">
        <v>10000</v>
      </c>
      <c r="AM34" s="42">
        <v>46113</v>
      </c>
      <c r="AN34" s="42">
        <v>46447</v>
      </c>
      <c r="AO34">
        <v>0</v>
      </c>
      <c r="AP34">
        <v>0</v>
      </c>
      <c r="AQ34">
        <v>0</v>
      </c>
      <c r="AR34" s="8">
        <f t="shared" si="0"/>
        <v>2194.17</v>
      </c>
      <c r="AS34" s="38">
        <f t="shared" si="1"/>
        <v>1649.2698221999999</v>
      </c>
      <c r="AT34" s="39" t="s">
        <v>121</v>
      </c>
      <c r="AU34" s="40">
        <f>VLOOKUP(N34,'Apólice Endosso'!D:XFD,23,0)</f>
        <v>0</v>
      </c>
      <c r="AV34" s="39" t="str">
        <f>VLOOKUP(N34,'Apólice Endosso'!D:XFD,28,0)</f>
        <v>Padrão (100%) sem blindagem - 1M - Contrato 2025</v>
      </c>
      <c r="AW34" s="41" t="str">
        <f>IF(VLOOKUP(N34,'Apólice Endosso'!D:XFD,47,0)=0,"",VLOOKUP(N34,'Apólice Endosso'!D:XFD,47,0))</f>
        <v/>
      </c>
      <c r="AX34" s="40">
        <f>VLOOKUP(N34,'Apólice Endosso'!D:XFD,30,0)</f>
        <v>7049</v>
      </c>
      <c r="AY34" s="36">
        <v>1673.5924660000003</v>
      </c>
      <c r="AZ34" s="16">
        <v>7049</v>
      </c>
      <c r="BA34" s="16"/>
    </row>
    <row r="35" spans="1:53" x14ac:dyDescent="0.3">
      <c r="A35" t="s">
        <v>85</v>
      </c>
      <c r="B35" s="9">
        <v>46122</v>
      </c>
      <c r="C35">
        <v>0</v>
      </c>
      <c r="D35" t="s">
        <v>84</v>
      </c>
      <c r="E35">
        <v>2103</v>
      </c>
      <c r="F35">
        <v>2103</v>
      </c>
      <c r="G35"/>
      <c r="H35"/>
      <c r="J35" t="s">
        <v>97</v>
      </c>
      <c r="K35" t="s">
        <v>98</v>
      </c>
      <c r="L35" t="s">
        <v>265</v>
      </c>
      <c r="M35" t="s">
        <v>86</v>
      </c>
      <c r="N35" t="s">
        <v>266</v>
      </c>
      <c r="O35" t="s">
        <v>87</v>
      </c>
      <c r="P35" t="s">
        <v>99</v>
      </c>
      <c r="Q35" t="s">
        <v>100</v>
      </c>
      <c r="R35">
        <v>2026</v>
      </c>
      <c r="S35">
        <v>2026</v>
      </c>
      <c r="T35" t="s">
        <v>101</v>
      </c>
      <c r="U35">
        <v>85</v>
      </c>
      <c r="V35">
        <v>133248</v>
      </c>
      <c r="W35">
        <v>139.63</v>
      </c>
      <c r="X35">
        <v>587.41999999999996</v>
      </c>
      <c r="Y35">
        <v>0</v>
      </c>
      <c r="Z35">
        <v>59.84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19987.2</v>
      </c>
      <c r="AG35">
        <v>2220000</v>
      </c>
      <c r="AH35">
        <v>1000000</v>
      </c>
      <c r="AI35">
        <v>200000</v>
      </c>
      <c r="AJ35">
        <v>1000000</v>
      </c>
      <c r="AK35">
        <v>10000</v>
      </c>
      <c r="AL35">
        <v>10000</v>
      </c>
      <c r="AM35" s="42">
        <v>46113</v>
      </c>
      <c r="AN35" s="42">
        <v>46447</v>
      </c>
      <c r="AO35">
        <v>0</v>
      </c>
      <c r="AP35">
        <v>0</v>
      </c>
      <c r="AQ35">
        <v>0</v>
      </c>
      <c r="AR35" s="8">
        <f t="shared" si="0"/>
        <v>2194.17</v>
      </c>
      <c r="AS35" s="38">
        <f t="shared" si="1"/>
        <v>1649.2698221999999</v>
      </c>
      <c r="AT35" s="39" t="s">
        <v>121</v>
      </c>
      <c r="AU35" s="40">
        <f>VLOOKUP(N35,'Apólice Endosso'!D:XFD,23,0)</f>
        <v>0</v>
      </c>
      <c r="AV35" s="39" t="str">
        <f>VLOOKUP(N35,'Apólice Endosso'!D:XFD,28,0)</f>
        <v>Padrão (100%) sem blindagem - 1M - Contrato 2025</v>
      </c>
      <c r="AW35" s="41" t="str">
        <f>IF(VLOOKUP(N35,'Apólice Endosso'!D:XFD,47,0)=0,"",VLOOKUP(N35,'Apólice Endosso'!D:XFD,47,0))</f>
        <v/>
      </c>
      <c r="AX35" s="40">
        <f>VLOOKUP(N35,'Apólice Endosso'!D:XFD,30,0)</f>
        <v>7049</v>
      </c>
      <c r="AY35" s="36">
        <v>1673.5924660000003</v>
      </c>
      <c r="AZ35" s="16">
        <v>7049</v>
      </c>
      <c r="BA35" s="16"/>
    </row>
    <row r="36" spans="1:53" x14ac:dyDescent="0.3">
      <c r="A36" t="s">
        <v>85</v>
      </c>
      <c r="B36" s="9">
        <v>46122</v>
      </c>
      <c r="C36">
        <v>0</v>
      </c>
      <c r="D36" t="s">
        <v>84</v>
      </c>
      <c r="E36">
        <v>2103</v>
      </c>
      <c r="F36">
        <v>2103</v>
      </c>
      <c r="G36"/>
      <c r="H36"/>
      <c r="J36" t="s">
        <v>97</v>
      </c>
      <c r="K36" t="s">
        <v>98</v>
      </c>
      <c r="L36" t="s">
        <v>267</v>
      </c>
      <c r="M36" t="s">
        <v>86</v>
      </c>
      <c r="N36" t="s">
        <v>268</v>
      </c>
      <c r="O36" t="s">
        <v>87</v>
      </c>
      <c r="P36" t="s">
        <v>99</v>
      </c>
      <c r="Q36" t="s">
        <v>100</v>
      </c>
      <c r="R36">
        <v>2026</v>
      </c>
      <c r="S36">
        <v>2026</v>
      </c>
      <c r="T36" t="s">
        <v>101</v>
      </c>
      <c r="U36">
        <v>85</v>
      </c>
      <c r="V36">
        <v>133248</v>
      </c>
      <c r="W36">
        <v>139.63</v>
      </c>
      <c r="X36">
        <v>587.41999999999996</v>
      </c>
      <c r="Y36">
        <v>0</v>
      </c>
      <c r="Z36">
        <v>59.84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19987.2</v>
      </c>
      <c r="AG36">
        <v>2220000</v>
      </c>
      <c r="AH36">
        <v>1000000</v>
      </c>
      <c r="AI36">
        <v>200000</v>
      </c>
      <c r="AJ36">
        <v>1000000</v>
      </c>
      <c r="AK36">
        <v>10000</v>
      </c>
      <c r="AL36">
        <v>10000</v>
      </c>
      <c r="AM36" s="42">
        <v>46113</v>
      </c>
      <c r="AN36" s="42">
        <v>46447</v>
      </c>
      <c r="AO36">
        <v>0</v>
      </c>
      <c r="AP36">
        <v>0</v>
      </c>
      <c r="AQ36">
        <v>0</v>
      </c>
      <c r="AR36" s="8">
        <f t="shared" si="0"/>
        <v>2194.17</v>
      </c>
      <c r="AS36" s="38">
        <f t="shared" si="1"/>
        <v>1649.2698221999999</v>
      </c>
      <c r="AT36" s="39" t="s">
        <v>121</v>
      </c>
      <c r="AU36" s="40">
        <f>VLOOKUP(N36,'Apólice Endosso'!D:XFD,23,0)</f>
        <v>0</v>
      </c>
      <c r="AV36" s="39" t="str">
        <f>VLOOKUP(N36,'Apólice Endosso'!D:XFD,28,0)</f>
        <v>Padrão (100%) sem blindagem - 1M - Contrato 2025</v>
      </c>
      <c r="AW36" s="41" t="str">
        <f>IF(VLOOKUP(N36,'Apólice Endosso'!D:XFD,47,0)=0,"",VLOOKUP(N36,'Apólice Endosso'!D:XFD,47,0))</f>
        <v/>
      </c>
      <c r="AX36" s="40">
        <f>VLOOKUP(N36,'Apólice Endosso'!D:XFD,30,0)</f>
        <v>7049</v>
      </c>
      <c r="AY36" s="36">
        <v>1673.5924660000003</v>
      </c>
      <c r="AZ36" s="16">
        <v>7049</v>
      </c>
      <c r="BA36" s="16"/>
    </row>
    <row r="37" spans="1:53" x14ac:dyDescent="0.3">
      <c r="A37" t="s">
        <v>85</v>
      </c>
      <c r="B37" s="9">
        <v>46122</v>
      </c>
      <c r="C37">
        <v>0</v>
      </c>
      <c r="D37" t="s">
        <v>84</v>
      </c>
      <c r="E37">
        <v>2103</v>
      </c>
      <c r="F37">
        <v>2103</v>
      </c>
      <c r="G37"/>
      <c r="H37"/>
      <c r="J37" t="s">
        <v>97</v>
      </c>
      <c r="K37" t="s">
        <v>98</v>
      </c>
      <c r="L37" t="s">
        <v>269</v>
      </c>
      <c r="M37" t="s">
        <v>86</v>
      </c>
      <c r="N37" t="s">
        <v>270</v>
      </c>
      <c r="O37" t="s">
        <v>87</v>
      </c>
      <c r="P37" t="s">
        <v>99</v>
      </c>
      <c r="Q37" t="s">
        <v>100</v>
      </c>
      <c r="R37">
        <v>2026</v>
      </c>
      <c r="S37">
        <v>2026</v>
      </c>
      <c r="T37" t="s">
        <v>101</v>
      </c>
      <c r="U37">
        <v>85</v>
      </c>
      <c r="V37">
        <v>133248</v>
      </c>
      <c r="W37">
        <v>139.63</v>
      </c>
      <c r="X37">
        <v>587.41999999999996</v>
      </c>
      <c r="Y37">
        <v>0</v>
      </c>
      <c r="Z37">
        <v>59.84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19987.2</v>
      </c>
      <c r="AG37">
        <v>2220000</v>
      </c>
      <c r="AH37">
        <v>1000000</v>
      </c>
      <c r="AI37">
        <v>200000</v>
      </c>
      <c r="AJ37">
        <v>1000000</v>
      </c>
      <c r="AK37">
        <v>10000</v>
      </c>
      <c r="AL37">
        <v>10000</v>
      </c>
      <c r="AM37" s="42">
        <v>46113</v>
      </c>
      <c r="AN37" s="42">
        <v>46447</v>
      </c>
      <c r="AO37">
        <v>0</v>
      </c>
      <c r="AP37">
        <v>0</v>
      </c>
      <c r="AQ37">
        <v>0</v>
      </c>
      <c r="AR37" s="8">
        <f t="shared" si="0"/>
        <v>2194.17</v>
      </c>
      <c r="AS37" s="38">
        <f t="shared" si="1"/>
        <v>1649.2698221999999</v>
      </c>
      <c r="AT37" s="39" t="s">
        <v>121</v>
      </c>
      <c r="AU37" s="40">
        <f>VLOOKUP(N37,'Apólice Endosso'!D:XFD,23,0)</f>
        <v>0</v>
      </c>
      <c r="AV37" s="39" t="str">
        <f>VLOOKUP(N37,'Apólice Endosso'!D:XFD,28,0)</f>
        <v>Padrão (100%) sem blindagem - 1M - Contrato 2025</v>
      </c>
      <c r="AW37" s="41" t="str">
        <f>IF(VLOOKUP(N37,'Apólice Endosso'!D:XFD,47,0)=0,"",VLOOKUP(N37,'Apólice Endosso'!D:XFD,47,0))</f>
        <v/>
      </c>
      <c r="AX37" s="40">
        <f>VLOOKUP(N37,'Apólice Endosso'!D:XFD,30,0)</f>
        <v>7049</v>
      </c>
      <c r="AY37" s="36">
        <v>1673.5924660000003</v>
      </c>
      <c r="AZ37" s="16">
        <v>7049</v>
      </c>
      <c r="BA37" s="16"/>
    </row>
    <row r="38" spans="1:53" x14ac:dyDescent="0.3">
      <c r="A38" t="s">
        <v>85</v>
      </c>
      <c r="B38" s="9">
        <v>46122</v>
      </c>
      <c r="C38">
        <v>0</v>
      </c>
      <c r="D38" t="s">
        <v>84</v>
      </c>
      <c r="E38">
        <v>2103</v>
      </c>
      <c r="F38">
        <v>2103</v>
      </c>
      <c r="G38"/>
      <c r="H38"/>
      <c r="J38" t="s">
        <v>97</v>
      </c>
      <c r="K38" t="s">
        <v>98</v>
      </c>
      <c r="L38" t="s">
        <v>271</v>
      </c>
      <c r="M38" t="s">
        <v>86</v>
      </c>
      <c r="N38" t="s">
        <v>272</v>
      </c>
      <c r="O38" t="s">
        <v>87</v>
      </c>
      <c r="P38" t="s">
        <v>99</v>
      </c>
      <c r="Q38" t="s">
        <v>100</v>
      </c>
      <c r="R38">
        <v>2026</v>
      </c>
      <c r="S38">
        <v>2026</v>
      </c>
      <c r="T38" t="s">
        <v>101</v>
      </c>
      <c r="U38">
        <v>85</v>
      </c>
      <c r="V38">
        <v>133248</v>
      </c>
      <c r="W38">
        <v>139.63</v>
      </c>
      <c r="X38">
        <v>587.41999999999996</v>
      </c>
      <c r="Y38">
        <v>0</v>
      </c>
      <c r="Z38">
        <v>59.84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19987.2</v>
      </c>
      <c r="AG38">
        <v>2220000</v>
      </c>
      <c r="AH38">
        <v>1000000</v>
      </c>
      <c r="AI38">
        <v>200000</v>
      </c>
      <c r="AJ38">
        <v>1000000</v>
      </c>
      <c r="AK38">
        <v>10000</v>
      </c>
      <c r="AL38">
        <v>10000</v>
      </c>
      <c r="AM38" s="42">
        <v>46113</v>
      </c>
      <c r="AN38" s="42">
        <v>46447</v>
      </c>
      <c r="AO38">
        <v>0</v>
      </c>
      <c r="AP38">
        <v>0</v>
      </c>
      <c r="AQ38">
        <v>0</v>
      </c>
      <c r="AR38" s="8">
        <f t="shared" si="0"/>
        <v>2194.17</v>
      </c>
      <c r="AS38" s="38">
        <f t="shared" si="1"/>
        <v>1649.2698221999999</v>
      </c>
      <c r="AT38" s="39" t="s">
        <v>121</v>
      </c>
      <c r="AU38" s="40">
        <f>VLOOKUP(N38,'Apólice Endosso'!D:XFD,23,0)</f>
        <v>0</v>
      </c>
      <c r="AV38" s="39" t="str">
        <f>VLOOKUP(N38,'Apólice Endosso'!D:XFD,28,0)</f>
        <v>Padrão (100%) sem blindagem - 1M - Contrato 2025</v>
      </c>
      <c r="AW38" s="41" t="str">
        <f>IF(VLOOKUP(N38,'Apólice Endosso'!D:XFD,47,0)=0,"",VLOOKUP(N38,'Apólice Endosso'!D:XFD,47,0))</f>
        <v/>
      </c>
      <c r="AX38" s="40">
        <f>VLOOKUP(N38,'Apólice Endosso'!D:XFD,30,0)</f>
        <v>7049</v>
      </c>
      <c r="AY38" s="36">
        <v>1673.5924660000003</v>
      </c>
      <c r="AZ38" s="16">
        <v>7049</v>
      </c>
      <c r="BA38" s="16"/>
    </row>
    <row r="39" spans="1:53" x14ac:dyDescent="0.3">
      <c r="A39" t="s">
        <v>85</v>
      </c>
      <c r="B39" s="9">
        <v>46122</v>
      </c>
      <c r="C39">
        <v>0</v>
      </c>
      <c r="D39" t="s">
        <v>84</v>
      </c>
      <c r="E39">
        <v>2103</v>
      </c>
      <c r="F39">
        <v>2103</v>
      </c>
      <c r="G39"/>
      <c r="H39"/>
      <c r="J39" t="s">
        <v>97</v>
      </c>
      <c r="K39" t="s">
        <v>98</v>
      </c>
      <c r="L39" t="s">
        <v>273</v>
      </c>
      <c r="M39" t="s">
        <v>86</v>
      </c>
      <c r="N39" t="s">
        <v>274</v>
      </c>
      <c r="O39" t="s">
        <v>87</v>
      </c>
      <c r="P39" t="s">
        <v>99</v>
      </c>
      <c r="Q39" t="s">
        <v>100</v>
      </c>
      <c r="R39">
        <v>2026</v>
      </c>
      <c r="S39">
        <v>2026</v>
      </c>
      <c r="T39" t="s">
        <v>101</v>
      </c>
      <c r="U39">
        <v>85</v>
      </c>
      <c r="V39">
        <v>133248</v>
      </c>
      <c r="W39">
        <v>139.63</v>
      </c>
      <c r="X39">
        <v>587.41999999999996</v>
      </c>
      <c r="Y39">
        <v>0</v>
      </c>
      <c r="Z39">
        <v>59.84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19987.2</v>
      </c>
      <c r="AG39">
        <v>2220000</v>
      </c>
      <c r="AH39">
        <v>1000000</v>
      </c>
      <c r="AI39">
        <v>200000</v>
      </c>
      <c r="AJ39">
        <v>1000000</v>
      </c>
      <c r="AK39">
        <v>10000</v>
      </c>
      <c r="AL39">
        <v>10000</v>
      </c>
      <c r="AM39" s="42">
        <v>46113</v>
      </c>
      <c r="AN39" s="42">
        <v>46447</v>
      </c>
      <c r="AO39">
        <v>0</v>
      </c>
      <c r="AP39">
        <v>0</v>
      </c>
      <c r="AQ39">
        <v>0</v>
      </c>
      <c r="AR39" s="8">
        <f t="shared" si="0"/>
        <v>2194.17</v>
      </c>
      <c r="AS39" s="38">
        <f t="shared" si="1"/>
        <v>1649.2698221999999</v>
      </c>
      <c r="AT39" s="39" t="s">
        <v>121</v>
      </c>
      <c r="AU39" s="40">
        <f>VLOOKUP(N39,'Apólice Endosso'!D:XFD,23,0)</f>
        <v>0</v>
      </c>
      <c r="AV39" s="39" t="str">
        <f>VLOOKUP(N39,'Apólice Endosso'!D:XFD,28,0)</f>
        <v>Padrão (100%) sem blindagem - 1M - Contrato 2025</v>
      </c>
      <c r="AW39" s="41" t="str">
        <f>IF(VLOOKUP(N39,'Apólice Endosso'!D:XFD,47,0)=0,"",VLOOKUP(N39,'Apólice Endosso'!D:XFD,47,0))</f>
        <v/>
      </c>
      <c r="AX39" s="40">
        <f>VLOOKUP(N39,'Apólice Endosso'!D:XFD,30,0)</f>
        <v>7049</v>
      </c>
      <c r="AY39" s="36">
        <v>1673.5924660000003</v>
      </c>
      <c r="AZ39" s="16">
        <v>7049</v>
      </c>
      <c r="BA39" s="16"/>
    </row>
    <row r="40" spans="1:53" x14ac:dyDescent="0.3">
      <c r="A40" t="s">
        <v>85</v>
      </c>
      <c r="B40" s="9">
        <v>46122</v>
      </c>
      <c r="C40">
        <v>0</v>
      </c>
      <c r="D40" t="s">
        <v>84</v>
      </c>
      <c r="E40">
        <v>2103</v>
      </c>
      <c r="F40">
        <v>2103</v>
      </c>
      <c r="G40"/>
      <c r="H40"/>
      <c r="J40" t="s">
        <v>151</v>
      </c>
      <c r="K40" t="s">
        <v>152</v>
      </c>
      <c r="L40" t="s">
        <v>275</v>
      </c>
      <c r="M40" t="s">
        <v>86</v>
      </c>
      <c r="N40" t="s">
        <v>276</v>
      </c>
      <c r="O40" t="s">
        <v>87</v>
      </c>
      <c r="P40" t="s">
        <v>153</v>
      </c>
      <c r="Q40" t="s">
        <v>162</v>
      </c>
      <c r="R40">
        <v>2026</v>
      </c>
      <c r="S40">
        <v>2026</v>
      </c>
      <c r="T40" t="s">
        <v>156</v>
      </c>
      <c r="U40">
        <v>85</v>
      </c>
      <c r="V40">
        <v>97920</v>
      </c>
      <c r="W40">
        <v>163.68</v>
      </c>
      <c r="X40">
        <v>452.72</v>
      </c>
      <c r="Y40">
        <v>0</v>
      </c>
      <c r="Z40">
        <v>70.150000000000006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14688</v>
      </c>
      <c r="AG40">
        <v>320000</v>
      </c>
      <c r="AH40">
        <v>150000</v>
      </c>
      <c r="AI40">
        <v>0</v>
      </c>
      <c r="AJ40">
        <v>150000</v>
      </c>
      <c r="AK40">
        <v>10000</v>
      </c>
      <c r="AL40">
        <v>10000</v>
      </c>
      <c r="AM40" s="42">
        <v>46113</v>
      </c>
      <c r="AN40" s="42">
        <v>46447</v>
      </c>
      <c r="AO40">
        <v>0</v>
      </c>
      <c r="AP40">
        <v>0</v>
      </c>
      <c r="AQ40">
        <v>0</v>
      </c>
      <c r="AR40" s="8">
        <f t="shared" si="0"/>
        <v>2572.13</v>
      </c>
      <c r="AS40" s="38">
        <f t="shared" si="1"/>
        <v>1933.3672357999999</v>
      </c>
      <c r="AT40" s="39" t="s">
        <v>174</v>
      </c>
      <c r="AU40" s="40">
        <f>VLOOKUP(N40,'Apólice Endosso'!D:XFD,23,0)</f>
        <v>0</v>
      </c>
      <c r="AV40" s="39" t="str">
        <f>VLOOKUP(N40,'Apólice Endosso'!D:XFD,28,0)</f>
        <v>Padrão (100%) sem blindagem - 150k - Contrato 2025</v>
      </c>
      <c r="AW40" s="41" t="str">
        <f>IF(VLOOKUP(N40,'Apólice Endosso'!D:XFD,47,0)=0,"",VLOOKUP(N40,'Apólice Endosso'!D:XFD,47,0))</f>
        <v/>
      </c>
      <c r="AX40" s="40">
        <f>VLOOKUP(N40,'Apólice Endosso'!D:XFD,30,0)</f>
        <v>5432.6</v>
      </c>
      <c r="AY40" s="36">
        <v>1933.5487079999998</v>
      </c>
      <c r="AZ40" s="16">
        <v>5432.6</v>
      </c>
      <c r="BA40" s="16"/>
    </row>
    <row r="41" spans="1:53" x14ac:dyDescent="0.3">
      <c r="A41" t="s">
        <v>85</v>
      </c>
      <c r="B41" s="9">
        <v>46122</v>
      </c>
      <c r="C41">
        <v>0</v>
      </c>
      <c r="D41" t="s">
        <v>84</v>
      </c>
      <c r="E41">
        <v>2103</v>
      </c>
      <c r="F41">
        <v>2103</v>
      </c>
      <c r="G41"/>
      <c r="H41"/>
      <c r="J41" t="s">
        <v>277</v>
      </c>
      <c r="K41" t="s">
        <v>278</v>
      </c>
      <c r="L41" t="s">
        <v>279</v>
      </c>
      <c r="M41" t="s">
        <v>86</v>
      </c>
      <c r="N41" t="s">
        <v>280</v>
      </c>
      <c r="O41" t="s">
        <v>87</v>
      </c>
      <c r="P41" t="s">
        <v>89</v>
      </c>
      <c r="Q41" t="s">
        <v>90</v>
      </c>
      <c r="R41">
        <v>2026</v>
      </c>
      <c r="S41">
        <v>2026</v>
      </c>
      <c r="T41" t="s">
        <v>88</v>
      </c>
      <c r="U41">
        <v>85</v>
      </c>
      <c r="V41">
        <v>84669</v>
      </c>
      <c r="W41">
        <v>152.16</v>
      </c>
      <c r="X41">
        <v>420.86</v>
      </c>
      <c r="Y41">
        <v>0</v>
      </c>
      <c r="Z41">
        <v>65.209999999999994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12700.35</v>
      </c>
      <c r="AG41">
        <v>320000</v>
      </c>
      <c r="AH41">
        <v>150000</v>
      </c>
      <c r="AI41">
        <v>0</v>
      </c>
      <c r="AJ41">
        <v>150000</v>
      </c>
      <c r="AK41">
        <v>10000</v>
      </c>
      <c r="AL41">
        <v>10000</v>
      </c>
      <c r="AM41" s="42">
        <v>46113</v>
      </c>
      <c r="AN41" s="42">
        <v>46447</v>
      </c>
      <c r="AO41">
        <v>0</v>
      </c>
      <c r="AP41">
        <v>0</v>
      </c>
      <c r="AQ41">
        <v>0</v>
      </c>
      <c r="AR41" s="8">
        <f t="shared" si="0"/>
        <v>2391.0700000000002</v>
      </c>
      <c r="AS41" s="38">
        <f t="shared" si="1"/>
        <v>1797.2716762</v>
      </c>
      <c r="AT41" s="39" t="s">
        <v>862</v>
      </c>
      <c r="AU41" s="40">
        <f>VLOOKUP(N41,'Apólice Endosso'!D:XFD,23,0)</f>
        <v>0</v>
      </c>
      <c r="AV41" s="39" t="str">
        <f>VLOOKUP(N41,'Apólice Endosso'!D:XFD,28,0)</f>
        <v>Padrão (100%) sem blindagem - 150k - Contrato 2025</v>
      </c>
      <c r="AW41" s="41" t="str">
        <f>IF(VLOOKUP(N41,'Apólice Endosso'!D:XFD,47,0)=0,"",VLOOKUP(N41,'Apólice Endosso'!D:XFD,47,0))</f>
        <v/>
      </c>
      <c r="AX41" s="40">
        <f>VLOOKUP(N41,'Apólice Endosso'!D:XFD,30,0)</f>
        <v>5050.3500000000004</v>
      </c>
      <c r="AY41" s="36">
        <v>1809.0308599999998</v>
      </c>
      <c r="AZ41" s="16">
        <v>5050.3500000000004</v>
      </c>
      <c r="BA41" s="16"/>
    </row>
    <row r="42" spans="1:53" x14ac:dyDescent="0.3">
      <c r="A42" t="s">
        <v>85</v>
      </c>
      <c r="B42" s="9">
        <v>46122</v>
      </c>
      <c r="C42">
        <v>0</v>
      </c>
      <c r="D42" t="s">
        <v>84</v>
      </c>
      <c r="E42">
        <v>2103</v>
      </c>
      <c r="F42">
        <v>2103</v>
      </c>
      <c r="G42"/>
      <c r="H42"/>
      <c r="J42" t="s">
        <v>277</v>
      </c>
      <c r="K42" t="s">
        <v>278</v>
      </c>
      <c r="L42" t="s">
        <v>281</v>
      </c>
      <c r="M42" t="s">
        <v>86</v>
      </c>
      <c r="N42" t="s">
        <v>282</v>
      </c>
      <c r="O42" t="s">
        <v>87</v>
      </c>
      <c r="P42" t="s">
        <v>89</v>
      </c>
      <c r="Q42" t="s">
        <v>90</v>
      </c>
      <c r="R42">
        <v>2026</v>
      </c>
      <c r="S42">
        <v>2026</v>
      </c>
      <c r="T42" t="s">
        <v>88</v>
      </c>
      <c r="U42">
        <v>85</v>
      </c>
      <c r="V42">
        <v>84669</v>
      </c>
      <c r="W42">
        <v>152.16</v>
      </c>
      <c r="X42">
        <v>420.86</v>
      </c>
      <c r="Y42">
        <v>0</v>
      </c>
      <c r="Z42">
        <v>65.209999999999994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12700.35</v>
      </c>
      <c r="AG42">
        <v>320000</v>
      </c>
      <c r="AH42">
        <v>150000</v>
      </c>
      <c r="AI42">
        <v>0</v>
      </c>
      <c r="AJ42">
        <v>150000</v>
      </c>
      <c r="AK42">
        <v>10000</v>
      </c>
      <c r="AL42">
        <v>10000</v>
      </c>
      <c r="AM42" s="42">
        <v>46113</v>
      </c>
      <c r="AN42" s="42">
        <v>46447</v>
      </c>
      <c r="AO42">
        <v>0</v>
      </c>
      <c r="AP42">
        <v>0</v>
      </c>
      <c r="AQ42">
        <v>0</v>
      </c>
      <c r="AR42" s="8">
        <f t="shared" si="0"/>
        <v>2391.0700000000002</v>
      </c>
      <c r="AS42" s="38">
        <f t="shared" si="1"/>
        <v>1797.2716762</v>
      </c>
      <c r="AT42" s="39" t="s">
        <v>862</v>
      </c>
      <c r="AU42" s="40">
        <f>VLOOKUP(N42,'Apólice Endosso'!D:XFD,23,0)</f>
        <v>0</v>
      </c>
      <c r="AV42" s="39" t="str">
        <f>VLOOKUP(N42,'Apólice Endosso'!D:XFD,28,0)</f>
        <v>Padrão (100%) sem blindagem - 150k - Contrato 2025</v>
      </c>
      <c r="AW42" s="41" t="str">
        <f>IF(VLOOKUP(N42,'Apólice Endosso'!D:XFD,47,0)=0,"",VLOOKUP(N42,'Apólice Endosso'!D:XFD,47,0))</f>
        <v/>
      </c>
      <c r="AX42" s="40">
        <f>VLOOKUP(N42,'Apólice Endosso'!D:XFD,30,0)</f>
        <v>5050.3500000000004</v>
      </c>
      <c r="AY42" s="36">
        <v>1809.0308599999998</v>
      </c>
      <c r="AZ42" s="16">
        <v>5050.3500000000004</v>
      </c>
      <c r="BA42" s="16"/>
    </row>
    <row r="43" spans="1:53" x14ac:dyDescent="0.3">
      <c r="A43" t="s">
        <v>85</v>
      </c>
      <c r="B43" s="9">
        <v>46122</v>
      </c>
      <c r="C43">
        <v>0</v>
      </c>
      <c r="D43" t="s">
        <v>84</v>
      </c>
      <c r="E43">
        <v>2103</v>
      </c>
      <c r="F43">
        <v>2103</v>
      </c>
      <c r="G43"/>
      <c r="H43"/>
      <c r="J43" t="s">
        <v>277</v>
      </c>
      <c r="K43" t="s">
        <v>278</v>
      </c>
      <c r="L43" t="s">
        <v>283</v>
      </c>
      <c r="M43" t="s">
        <v>86</v>
      </c>
      <c r="N43" t="s">
        <v>284</v>
      </c>
      <c r="O43" t="s">
        <v>87</v>
      </c>
      <c r="P43" t="s">
        <v>89</v>
      </c>
      <c r="Q43" t="s">
        <v>90</v>
      </c>
      <c r="R43">
        <v>2026</v>
      </c>
      <c r="S43">
        <v>2026</v>
      </c>
      <c r="T43" t="s">
        <v>88</v>
      </c>
      <c r="U43">
        <v>85</v>
      </c>
      <c r="V43">
        <v>84669</v>
      </c>
      <c r="W43">
        <v>152.16</v>
      </c>
      <c r="X43">
        <v>420.86</v>
      </c>
      <c r="Y43">
        <v>0</v>
      </c>
      <c r="Z43">
        <v>65.209999999999994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12700.35</v>
      </c>
      <c r="AG43">
        <v>320000</v>
      </c>
      <c r="AH43">
        <v>150000</v>
      </c>
      <c r="AI43">
        <v>0</v>
      </c>
      <c r="AJ43">
        <v>150000</v>
      </c>
      <c r="AK43">
        <v>10000</v>
      </c>
      <c r="AL43">
        <v>10000</v>
      </c>
      <c r="AM43" s="42">
        <v>46113</v>
      </c>
      <c r="AN43" s="42">
        <v>46447</v>
      </c>
      <c r="AO43">
        <v>0</v>
      </c>
      <c r="AP43">
        <v>0</v>
      </c>
      <c r="AQ43">
        <v>0</v>
      </c>
      <c r="AR43" s="8">
        <f t="shared" si="0"/>
        <v>2391.0700000000002</v>
      </c>
      <c r="AS43" s="38">
        <f t="shared" si="1"/>
        <v>1797.2716762</v>
      </c>
      <c r="AT43" s="39" t="s">
        <v>862</v>
      </c>
      <c r="AU43" s="40">
        <f>VLOOKUP(N43,'Apólice Endosso'!D:XFD,23,0)</f>
        <v>0</v>
      </c>
      <c r="AV43" s="39" t="str">
        <f>VLOOKUP(N43,'Apólice Endosso'!D:XFD,28,0)</f>
        <v>Padrão (100%) sem blindagem - 150k - Contrato 2025</v>
      </c>
      <c r="AW43" s="41" t="str">
        <f>IF(VLOOKUP(N43,'Apólice Endosso'!D:XFD,47,0)=0,"",VLOOKUP(N43,'Apólice Endosso'!D:XFD,47,0))</f>
        <v/>
      </c>
      <c r="AX43" s="40">
        <f>VLOOKUP(N43,'Apólice Endosso'!D:XFD,30,0)</f>
        <v>5050.3500000000004</v>
      </c>
      <c r="AY43" s="36">
        <v>1809.0308599999998</v>
      </c>
      <c r="AZ43" s="16">
        <v>5050.3500000000004</v>
      </c>
      <c r="BA43" s="16"/>
    </row>
    <row r="44" spans="1:53" x14ac:dyDescent="0.3">
      <c r="A44" t="s">
        <v>85</v>
      </c>
      <c r="B44" s="9">
        <v>46126</v>
      </c>
      <c r="C44">
        <v>0</v>
      </c>
      <c r="D44" t="s">
        <v>84</v>
      </c>
      <c r="E44">
        <v>2103</v>
      </c>
      <c r="F44">
        <v>2103</v>
      </c>
      <c r="G44"/>
      <c r="H44"/>
      <c r="J44" t="s">
        <v>151</v>
      </c>
      <c r="K44" t="s">
        <v>152</v>
      </c>
      <c r="L44" t="s">
        <v>285</v>
      </c>
      <c r="M44" t="s">
        <v>86</v>
      </c>
      <c r="N44" t="s">
        <v>286</v>
      </c>
      <c r="O44" t="s">
        <v>87</v>
      </c>
      <c r="P44" t="s">
        <v>153</v>
      </c>
      <c r="Q44" t="s">
        <v>162</v>
      </c>
      <c r="R44">
        <v>2026</v>
      </c>
      <c r="S44">
        <v>2026</v>
      </c>
      <c r="T44" t="s">
        <v>156</v>
      </c>
      <c r="U44">
        <v>85</v>
      </c>
      <c r="V44">
        <v>97920</v>
      </c>
      <c r="W44">
        <v>163.68</v>
      </c>
      <c r="X44">
        <v>452.72</v>
      </c>
      <c r="Y44">
        <v>0</v>
      </c>
      <c r="Z44">
        <v>70.150000000000006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14688</v>
      </c>
      <c r="AG44">
        <v>320000</v>
      </c>
      <c r="AH44">
        <v>150000</v>
      </c>
      <c r="AI44">
        <v>0</v>
      </c>
      <c r="AJ44">
        <v>150000</v>
      </c>
      <c r="AK44">
        <v>10000</v>
      </c>
      <c r="AL44">
        <v>10000</v>
      </c>
      <c r="AM44" s="42">
        <v>46113</v>
      </c>
      <c r="AN44" s="42">
        <v>46447</v>
      </c>
      <c r="AO44">
        <v>0</v>
      </c>
      <c r="AP44">
        <v>0</v>
      </c>
      <c r="AQ44">
        <v>0</v>
      </c>
      <c r="AR44" s="8">
        <f t="shared" si="0"/>
        <v>2572.13</v>
      </c>
      <c r="AS44" s="38">
        <f t="shared" si="1"/>
        <v>1933.3672357999999</v>
      </c>
      <c r="AT44" s="39" t="s">
        <v>174</v>
      </c>
      <c r="AU44" s="40">
        <f>VLOOKUP(N44,'Apólice Endosso'!D:XFD,23,0)</f>
        <v>0</v>
      </c>
      <c r="AV44" s="39" t="str">
        <f>VLOOKUP(N44,'Apólice Endosso'!D:XFD,28,0)</f>
        <v>Padrão (100%) sem blindagem - 150k - Contrato 2025</v>
      </c>
      <c r="AW44" s="41" t="str">
        <f>IF(VLOOKUP(N44,'Apólice Endosso'!D:XFD,47,0)=0,"",VLOOKUP(N44,'Apólice Endosso'!D:XFD,47,0))</f>
        <v/>
      </c>
      <c r="AX44" s="40">
        <f>VLOOKUP(N44,'Apólice Endosso'!D:XFD,30,0)</f>
        <v>5432.6</v>
      </c>
      <c r="AY44" s="36">
        <v>1933.5487079999998</v>
      </c>
      <c r="AZ44" s="16">
        <v>5432.6</v>
      </c>
      <c r="BA44" s="16"/>
    </row>
    <row r="45" spans="1:53" x14ac:dyDescent="0.3">
      <c r="A45" t="s">
        <v>85</v>
      </c>
      <c r="B45" s="9">
        <v>46126</v>
      </c>
      <c r="C45">
        <v>0</v>
      </c>
      <c r="D45" t="s">
        <v>84</v>
      </c>
      <c r="E45">
        <v>2103</v>
      </c>
      <c r="F45">
        <v>2103</v>
      </c>
      <c r="G45"/>
      <c r="H45"/>
      <c r="J45" t="s">
        <v>287</v>
      </c>
      <c r="K45" t="s">
        <v>288</v>
      </c>
      <c r="L45" t="s">
        <v>289</v>
      </c>
      <c r="M45" t="s">
        <v>86</v>
      </c>
      <c r="N45" t="s">
        <v>290</v>
      </c>
      <c r="O45" t="s">
        <v>87</v>
      </c>
      <c r="P45" t="s">
        <v>91</v>
      </c>
      <c r="Q45" t="s">
        <v>92</v>
      </c>
      <c r="R45">
        <v>2024</v>
      </c>
      <c r="S45">
        <v>2024</v>
      </c>
      <c r="T45" t="s">
        <v>93</v>
      </c>
      <c r="U45">
        <v>85</v>
      </c>
      <c r="V45">
        <v>0</v>
      </c>
      <c r="W45">
        <v>322.58</v>
      </c>
      <c r="X45">
        <v>2037.92</v>
      </c>
      <c r="Y45">
        <v>0</v>
      </c>
      <c r="Z45">
        <v>138.25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320000</v>
      </c>
      <c r="AH45">
        <v>150000</v>
      </c>
      <c r="AI45">
        <v>0</v>
      </c>
      <c r="AJ45">
        <v>150000</v>
      </c>
      <c r="AK45">
        <v>10000</v>
      </c>
      <c r="AL45">
        <v>10000</v>
      </c>
      <c r="AM45" s="42">
        <v>46113</v>
      </c>
      <c r="AN45" s="42">
        <v>46447</v>
      </c>
      <c r="AO45">
        <v>0</v>
      </c>
      <c r="AP45">
        <v>0</v>
      </c>
      <c r="AQ45">
        <v>0</v>
      </c>
      <c r="AR45" s="8">
        <f t="shared" si="0"/>
        <v>5069.13</v>
      </c>
      <c r="AS45" s="38">
        <f t="shared" si="1"/>
        <v>3810.2622558000003</v>
      </c>
      <c r="AT45" s="39" t="s">
        <v>164</v>
      </c>
      <c r="AU45" s="40">
        <f>VLOOKUP(N45,'Apólice Endosso'!D:XFD,23,0)</f>
        <v>0</v>
      </c>
      <c r="AV45" s="39" t="str">
        <f>VLOOKUP(N45,'Apólice Endosso'!D:XFD,28,0)</f>
        <v>Padrão (100%) sem blindagem - 150k - Contrato 2025</v>
      </c>
      <c r="AW45" s="41" t="str">
        <f>IF(VLOOKUP(N45,'Apólice Endosso'!D:XFD,47,0)=0,"",VLOOKUP(N45,'Apólice Endosso'!D:XFD,47,0))</f>
        <v/>
      </c>
      <c r="AX45" s="40">
        <f>VLOOKUP(N45,'Apólice Endosso'!D:XFD,30,0)</f>
        <v>24455.05</v>
      </c>
      <c r="AY45" s="36">
        <v>3651.0381179999995</v>
      </c>
      <c r="AZ45" s="16">
        <v>24455.05</v>
      </c>
      <c r="BA45" s="16"/>
    </row>
    <row r="46" spans="1:53" x14ac:dyDescent="0.3">
      <c r="A46" t="s">
        <v>85</v>
      </c>
      <c r="B46" s="9">
        <v>46126</v>
      </c>
      <c r="C46">
        <v>0</v>
      </c>
      <c r="D46" t="s">
        <v>84</v>
      </c>
      <c r="E46">
        <v>2103</v>
      </c>
      <c r="F46">
        <v>2103</v>
      </c>
      <c r="G46"/>
      <c r="H46"/>
      <c r="J46" t="s">
        <v>149</v>
      </c>
      <c r="K46" t="s">
        <v>150</v>
      </c>
      <c r="L46" t="s">
        <v>291</v>
      </c>
      <c r="M46" t="s">
        <v>86</v>
      </c>
      <c r="N46" t="s">
        <v>292</v>
      </c>
      <c r="O46" t="s">
        <v>87</v>
      </c>
      <c r="P46" t="s">
        <v>89</v>
      </c>
      <c r="Q46" t="s">
        <v>90</v>
      </c>
      <c r="R46">
        <v>2026</v>
      </c>
      <c r="S46">
        <v>2026</v>
      </c>
      <c r="T46" t="s">
        <v>88</v>
      </c>
      <c r="U46">
        <v>85</v>
      </c>
      <c r="V46">
        <v>84669</v>
      </c>
      <c r="W46">
        <v>152.16</v>
      </c>
      <c r="X46">
        <v>420.86</v>
      </c>
      <c r="Y46">
        <v>0</v>
      </c>
      <c r="Z46">
        <v>65.209999999999994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12700.35</v>
      </c>
      <c r="AG46">
        <v>320000</v>
      </c>
      <c r="AH46">
        <v>150000</v>
      </c>
      <c r="AI46">
        <v>0</v>
      </c>
      <c r="AJ46">
        <v>150000</v>
      </c>
      <c r="AK46">
        <v>10000</v>
      </c>
      <c r="AL46">
        <v>10000</v>
      </c>
      <c r="AM46" s="42">
        <v>46113</v>
      </c>
      <c r="AN46" s="42">
        <v>46447</v>
      </c>
      <c r="AO46">
        <v>0</v>
      </c>
      <c r="AP46">
        <v>0</v>
      </c>
      <c r="AQ46">
        <v>0</v>
      </c>
      <c r="AR46" s="8">
        <f t="shared" si="0"/>
        <v>2391.0700000000002</v>
      </c>
      <c r="AS46" s="38">
        <f t="shared" si="1"/>
        <v>1797.2716762</v>
      </c>
      <c r="AT46" s="39" t="s">
        <v>173</v>
      </c>
      <c r="AU46" s="40">
        <f>VLOOKUP(N46,'Apólice Endosso'!D:XFD,23,0)</f>
        <v>0</v>
      </c>
      <c r="AV46" s="39" t="str">
        <f>VLOOKUP(N46,'Apólice Endosso'!D:XFD,28,0)</f>
        <v>Padrão (100%) sem blindagem - 150k - Contrato 2025</v>
      </c>
      <c r="AW46" s="41" t="str">
        <f>IF(VLOOKUP(N46,'Apólice Endosso'!D:XFD,47,0)=0,"",VLOOKUP(N46,'Apólice Endosso'!D:XFD,47,0))</f>
        <v/>
      </c>
      <c r="AX46" s="40">
        <f>VLOOKUP(N46,'Apólice Endosso'!D:XFD,30,0)</f>
        <v>5050.3500000000004</v>
      </c>
      <c r="AY46" s="36">
        <v>1809.0308599999998</v>
      </c>
      <c r="AZ46" s="16">
        <v>5050.3500000000004</v>
      </c>
      <c r="BA46" s="16"/>
    </row>
    <row r="47" spans="1:53" x14ac:dyDescent="0.3">
      <c r="A47" t="s">
        <v>85</v>
      </c>
      <c r="B47" s="9">
        <v>46126</v>
      </c>
      <c r="C47">
        <v>0</v>
      </c>
      <c r="D47" t="s">
        <v>84</v>
      </c>
      <c r="E47">
        <v>2103</v>
      </c>
      <c r="F47">
        <v>2103</v>
      </c>
      <c r="G47"/>
      <c r="H47"/>
      <c r="J47" t="s">
        <v>149</v>
      </c>
      <c r="K47" t="s">
        <v>150</v>
      </c>
      <c r="L47" t="s">
        <v>293</v>
      </c>
      <c r="M47" t="s">
        <v>86</v>
      </c>
      <c r="N47" t="s">
        <v>294</v>
      </c>
      <c r="O47" t="s">
        <v>87</v>
      </c>
      <c r="P47" t="s">
        <v>89</v>
      </c>
      <c r="Q47" t="s">
        <v>90</v>
      </c>
      <c r="R47">
        <v>2026</v>
      </c>
      <c r="S47">
        <v>2026</v>
      </c>
      <c r="T47" t="s">
        <v>88</v>
      </c>
      <c r="U47">
        <v>85</v>
      </c>
      <c r="V47">
        <v>84669</v>
      </c>
      <c r="W47">
        <v>152.16</v>
      </c>
      <c r="X47">
        <v>420.86</v>
      </c>
      <c r="Y47">
        <v>0</v>
      </c>
      <c r="Z47">
        <v>65.209999999999994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12700.35</v>
      </c>
      <c r="AG47">
        <v>320000</v>
      </c>
      <c r="AH47">
        <v>150000</v>
      </c>
      <c r="AI47">
        <v>0</v>
      </c>
      <c r="AJ47">
        <v>150000</v>
      </c>
      <c r="AK47">
        <v>10000</v>
      </c>
      <c r="AL47">
        <v>10000</v>
      </c>
      <c r="AM47" s="42">
        <v>46113</v>
      </c>
      <c r="AN47" s="42">
        <v>46447</v>
      </c>
      <c r="AO47">
        <v>0</v>
      </c>
      <c r="AP47">
        <v>0</v>
      </c>
      <c r="AQ47">
        <v>0</v>
      </c>
      <c r="AR47" s="8">
        <f t="shared" si="0"/>
        <v>2391.0700000000002</v>
      </c>
      <c r="AS47" s="38">
        <f t="shared" si="1"/>
        <v>1797.2716762</v>
      </c>
      <c r="AT47" s="39" t="s">
        <v>173</v>
      </c>
      <c r="AU47" s="40">
        <f>VLOOKUP(N47,'Apólice Endosso'!D:XFD,23,0)</f>
        <v>0</v>
      </c>
      <c r="AV47" s="39" t="str">
        <f>VLOOKUP(N47,'Apólice Endosso'!D:XFD,28,0)</f>
        <v>Padrão (100%) sem blindagem - 150k - Contrato 2025</v>
      </c>
      <c r="AW47" s="41" t="str">
        <f>IF(VLOOKUP(N47,'Apólice Endosso'!D:XFD,47,0)=0,"",VLOOKUP(N47,'Apólice Endosso'!D:XFD,47,0))</f>
        <v/>
      </c>
      <c r="AX47" s="40">
        <f>VLOOKUP(N47,'Apólice Endosso'!D:XFD,30,0)</f>
        <v>5050.3500000000004</v>
      </c>
      <c r="AY47" s="36">
        <v>1809.0308599999998</v>
      </c>
      <c r="AZ47" s="16">
        <v>5050.3500000000004</v>
      </c>
      <c r="BA47" s="16"/>
    </row>
    <row r="48" spans="1:53" x14ac:dyDescent="0.3">
      <c r="A48" t="s">
        <v>85</v>
      </c>
      <c r="B48" s="9">
        <v>46126</v>
      </c>
      <c r="C48">
        <v>0</v>
      </c>
      <c r="D48" t="s">
        <v>84</v>
      </c>
      <c r="E48">
        <v>2103</v>
      </c>
      <c r="F48">
        <v>2103</v>
      </c>
      <c r="G48"/>
      <c r="H48"/>
      <c r="J48" t="s">
        <v>295</v>
      </c>
      <c r="K48" t="s">
        <v>296</v>
      </c>
      <c r="L48" t="s">
        <v>297</v>
      </c>
      <c r="M48" t="s">
        <v>86</v>
      </c>
      <c r="N48" t="s">
        <v>298</v>
      </c>
      <c r="O48" t="s">
        <v>87</v>
      </c>
      <c r="P48" t="s">
        <v>299</v>
      </c>
      <c r="Q48" t="s">
        <v>300</v>
      </c>
      <c r="R48">
        <v>2026</v>
      </c>
      <c r="S48">
        <v>2026</v>
      </c>
      <c r="T48" t="s">
        <v>301</v>
      </c>
      <c r="U48">
        <v>85</v>
      </c>
      <c r="V48">
        <v>168422</v>
      </c>
      <c r="W48">
        <v>160.41999999999999</v>
      </c>
      <c r="X48">
        <v>736.51</v>
      </c>
      <c r="Y48">
        <v>0</v>
      </c>
      <c r="Z48">
        <v>68.59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25263.3</v>
      </c>
      <c r="AG48">
        <v>620000</v>
      </c>
      <c r="AH48">
        <v>300000</v>
      </c>
      <c r="AI48">
        <v>0</v>
      </c>
      <c r="AJ48">
        <v>300000</v>
      </c>
      <c r="AK48">
        <v>10000</v>
      </c>
      <c r="AL48">
        <v>10000</v>
      </c>
      <c r="AM48" s="42">
        <v>46113</v>
      </c>
      <c r="AN48" s="42">
        <v>46447</v>
      </c>
      <c r="AO48">
        <v>0</v>
      </c>
      <c r="AP48">
        <v>0</v>
      </c>
      <c r="AQ48">
        <v>0</v>
      </c>
      <c r="AR48" s="8">
        <f t="shared" si="0"/>
        <v>2519.1099999999997</v>
      </c>
      <c r="AS48" s="38">
        <f t="shared" si="1"/>
        <v>1893.5142225999998</v>
      </c>
      <c r="AT48" s="39" t="s">
        <v>172</v>
      </c>
      <c r="AU48" s="40">
        <f>VLOOKUP(N48,'Apólice Endosso'!D:XFD,23,0)</f>
        <v>0</v>
      </c>
      <c r="AV48" s="39" t="str">
        <f>VLOOKUP(N48,'Apólice Endosso'!D:XFD,28,0)</f>
        <v>Padrão (100%) sem blindagem - 300k - Contrato 2025</v>
      </c>
      <c r="AW48" s="41" t="str">
        <f>IF(VLOOKUP(N48,'Apólice Endosso'!D:XFD,47,0)=0,"",VLOOKUP(N48,'Apólice Endosso'!D:XFD,47,0))</f>
        <v/>
      </c>
      <c r="AX48" s="40">
        <f>VLOOKUP(N48,'Apólice Endosso'!D:XFD,30,0)</f>
        <v>8838.1</v>
      </c>
      <c r="AY48" s="36">
        <v>1897.1254120000001</v>
      </c>
      <c r="AZ48" s="16">
        <v>8838.1</v>
      </c>
      <c r="BA48" s="16"/>
    </row>
    <row r="49" spans="1:53" x14ac:dyDescent="0.3">
      <c r="A49" t="s">
        <v>85</v>
      </c>
      <c r="B49" s="9">
        <v>46126</v>
      </c>
      <c r="C49">
        <v>0</v>
      </c>
      <c r="D49" t="s">
        <v>84</v>
      </c>
      <c r="E49">
        <v>2103</v>
      </c>
      <c r="F49">
        <v>2103</v>
      </c>
      <c r="G49"/>
      <c r="H49"/>
      <c r="J49" t="s">
        <v>97</v>
      </c>
      <c r="K49" t="s">
        <v>98</v>
      </c>
      <c r="L49" t="s">
        <v>302</v>
      </c>
      <c r="M49" t="s">
        <v>86</v>
      </c>
      <c r="N49" t="s">
        <v>303</v>
      </c>
      <c r="O49" t="s">
        <v>87</v>
      </c>
      <c r="P49" t="s">
        <v>99</v>
      </c>
      <c r="Q49" t="s">
        <v>100</v>
      </c>
      <c r="R49">
        <v>2026</v>
      </c>
      <c r="S49">
        <v>2026</v>
      </c>
      <c r="T49" t="s">
        <v>101</v>
      </c>
      <c r="U49">
        <v>85</v>
      </c>
      <c r="V49">
        <v>133248</v>
      </c>
      <c r="W49">
        <v>139.63</v>
      </c>
      <c r="X49">
        <v>587.41999999999996</v>
      </c>
      <c r="Y49">
        <v>0</v>
      </c>
      <c r="Z49">
        <v>59.84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19987.2</v>
      </c>
      <c r="AG49">
        <v>2220000</v>
      </c>
      <c r="AH49">
        <v>1000000</v>
      </c>
      <c r="AI49">
        <v>200000</v>
      </c>
      <c r="AJ49">
        <v>1000000</v>
      </c>
      <c r="AK49">
        <v>10000</v>
      </c>
      <c r="AL49">
        <v>10000</v>
      </c>
      <c r="AM49" s="42">
        <v>46113</v>
      </c>
      <c r="AN49" s="42">
        <v>46447</v>
      </c>
      <c r="AO49">
        <v>0</v>
      </c>
      <c r="AP49">
        <v>0</v>
      </c>
      <c r="AQ49">
        <v>0</v>
      </c>
      <c r="AR49" s="8">
        <f t="shared" si="0"/>
        <v>2194.17</v>
      </c>
      <c r="AS49" s="38">
        <f t="shared" si="1"/>
        <v>1649.2698221999999</v>
      </c>
      <c r="AT49" s="39" t="s">
        <v>121</v>
      </c>
      <c r="AU49" s="40">
        <f>VLOOKUP(N49,'Apólice Endosso'!D:XFD,23,0)</f>
        <v>0</v>
      </c>
      <c r="AV49" s="39" t="str">
        <f>VLOOKUP(N49,'Apólice Endosso'!D:XFD,28,0)</f>
        <v>Padrão (100%) sem blindagem - 1M - Contrato 2025</v>
      </c>
      <c r="AW49" s="41" t="str">
        <f>IF(VLOOKUP(N49,'Apólice Endosso'!D:XFD,47,0)=0,"",VLOOKUP(N49,'Apólice Endosso'!D:XFD,47,0))</f>
        <v/>
      </c>
      <c r="AX49" s="40">
        <f>VLOOKUP(N49,'Apólice Endosso'!D:XFD,30,0)</f>
        <v>7049</v>
      </c>
      <c r="AY49" s="36">
        <v>1673.5924660000003</v>
      </c>
      <c r="AZ49" s="16">
        <v>7049</v>
      </c>
      <c r="BA49" s="16"/>
    </row>
    <row r="50" spans="1:53" x14ac:dyDescent="0.3">
      <c r="A50" t="s">
        <v>85</v>
      </c>
      <c r="B50" s="9">
        <v>46126</v>
      </c>
      <c r="C50">
        <v>0</v>
      </c>
      <c r="D50" t="s">
        <v>84</v>
      </c>
      <c r="E50">
        <v>2103</v>
      </c>
      <c r="F50">
        <v>2103</v>
      </c>
      <c r="G50"/>
      <c r="H50"/>
      <c r="J50" t="s">
        <v>97</v>
      </c>
      <c r="K50" t="s">
        <v>98</v>
      </c>
      <c r="L50" t="s">
        <v>304</v>
      </c>
      <c r="M50" t="s">
        <v>86</v>
      </c>
      <c r="N50" t="s">
        <v>305</v>
      </c>
      <c r="O50" t="s">
        <v>87</v>
      </c>
      <c r="P50" t="s">
        <v>99</v>
      </c>
      <c r="Q50" t="s">
        <v>100</v>
      </c>
      <c r="R50">
        <v>2026</v>
      </c>
      <c r="S50">
        <v>2026</v>
      </c>
      <c r="T50" t="s">
        <v>101</v>
      </c>
      <c r="U50">
        <v>85</v>
      </c>
      <c r="V50">
        <v>133248</v>
      </c>
      <c r="W50">
        <v>139.63</v>
      </c>
      <c r="X50">
        <v>587.41999999999996</v>
      </c>
      <c r="Y50">
        <v>0</v>
      </c>
      <c r="Z50">
        <v>59.84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19987.2</v>
      </c>
      <c r="AG50">
        <v>2220000</v>
      </c>
      <c r="AH50">
        <v>1000000</v>
      </c>
      <c r="AI50">
        <v>200000</v>
      </c>
      <c r="AJ50">
        <v>1000000</v>
      </c>
      <c r="AK50">
        <v>10000</v>
      </c>
      <c r="AL50">
        <v>10000</v>
      </c>
      <c r="AM50" s="42">
        <v>46113</v>
      </c>
      <c r="AN50" s="42">
        <v>46447</v>
      </c>
      <c r="AO50">
        <v>0</v>
      </c>
      <c r="AP50">
        <v>0</v>
      </c>
      <c r="AQ50">
        <v>0</v>
      </c>
      <c r="AR50" s="8">
        <f t="shared" si="0"/>
        <v>2194.17</v>
      </c>
      <c r="AS50" s="38">
        <f t="shared" si="1"/>
        <v>1649.2698221999999</v>
      </c>
      <c r="AT50" s="39" t="s">
        <v>121</v>
      </c>
      <c r="AU50" s="40">
        <f>VLOOKUP(N50,'Apólice Endosso'!D:XFD,23,0)</f>
        <v>0</v>
      </c>
      <c r="AV50" s="39" t="str">
        <f>VLOOKUP(N50,'Apólice Endosso'!D:XFD,28,0)</f>
        <v>Padrão (100%) sem blindagem - 1M - Contrato 2025</v>
      </c>
      <c r="AW50" s="41" t="str">
        <f>IF(VLOOKUP(N50,'Apólice Endosso'!D:XFD,47,0)=0,"",VLOOKUP(N50,'Apólice Endosso'!D:XFD,47,0))</f>
        <v/>
      </c>
      <c r="AX50" s="40">
        <f>VLOOKUP(N50,'Apólice Endosso'!D:XFD,30,0)</f>
        <v>7049</v>
      </c>
      <c r="AY50" s="36">
        <v>1673.5924660000003</v>
      </c>
      <c r="AZ50" s="16">
        <v>7049</v>
      </c>
      <c r="BA50" s="16"/>
    </row>
    <row r="51" spans="1:53" x14ac:dyDescent="0.3">
      <c r="A51" t="s">
        <v>85</v>
      </c>
      <c r="B51" s="9">
        <v>46126</v>
      </c>
      <c r="C51">
        <v>0</v>
      </c>
      <c r="D51" t="s">
        <v>84</v>
      </c>
      <c r="E51">
        <v>2103</v>
      </c>
      <c r="F51">
        <v>2103</v>
      </c>
      <c r="G51"/>
      <c r="H51"/>
      <c r="J51" t="s">
        <v>97</v>
      </c>
      <c r="K51" t="s">
        <v>98</v>
      </c>
      <c r="L51" t="s">
        <v>306</v>
      </c>
      <c r="M51" t="s">
        <v>86</v>
      </c>
      <c r="N51" t="s">
        <v>307</v>
      </c>
      <c r="O51" t="s">
        <v>87</v>
      </c>
      <c r="P51" t="s">
        <v>102</v>
      </c>
      <c r="Q51" t="s">
        <v>103</v>
      </c>
      <c r="R51">
        <v>2025</v>
      </c>
      <c r="S51">
        <v>2026</v>
      </c>
      <c r="T51" t="s">
        <v>101</v>
      </c>
      <c r="U51">
        <v>85</v>
      </c>
      <c r="V51">
        <v>133248</v>
      </c>
      <c r="W51">
        <v>139.63</v>
      </c>
      <c r="X51">
        <v>587.41999999999996</v>
      </c>
      <c r="Y51">
        <v>0</v>
      </c>
      <c r="Z51">
        <v>59.84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19987.2</v>
      </c>
      <c r="AG51">
        <v>2220000</v>
      </c>
      <c r="AH51">
        <v>1000000</v>
      </c>
      <c r="AI51">
        <v>200000</v>
      </c>
      <c r="AJ51">
        <v>1000000</v>
      </c>
      <c r="AK51">
        <v>10000</v>
      </c>
      <c r="AL51">
        <v>10000</v>
      </c>
      <c r="AM51" s="42">
        <v>46113</v>
      </c>
      <c r="AN51" s="42">
        <v>46447</v>
      </c>
      <c r="AO51">
        <v>0</v>
      </c>
      <c r="AP51">
        <v>0</v>
      </c>
      <c r="AQ51">
        <v>0</v>
      </c>
      <c r="AR51" s="8">
        <f t="shared" si="0"/>
        <v>2194.17</v>
      </c>
      <c r="AS51" s="38">
        <f t="shared" si="1"/>
        <v>1649.2698221999999</v>
      </c>
      <c r="AT51" s="39" t="s">
        <v>121</v>
      </c>
      <c r="AU51" s="40">
        <f>VLOOKUP(N51,'Apólice Endosso'!D:XFD,23,0)</f>
        <v>0</v>
      </c>
      <c r="AV51" s="39" t="str">
        <f>VLOOKUP(N51,'Apólice Endosso'!D:XFD,28,0)</f>
        <v>Padrão (100%) sem blindagem - 1M - Contrato 2025</v>
      </c>
      <c r="AW51" s="41" t="str">
        <f>IF(VLOOKUP(N51,'Apólice Endosso'!D:XFD,47,0)=0,"",VLOOKUP(N51,'Apólice Endosso'!D:XFD,47,0))</f>
        <v/>
      </c>
      <c r="AX51" s="40">
        <f>VLOOKUP(N51,'Apólice Endosso'!D:XFD,30,0)</f>
        <v>7049</v>
      </c>
      <c r="AY51" s="36">
        <v>1673.5924660000003</v>
      </c>
      <c r="AZ51" s="16">
        <v>7049</v>
      </c>
      <c r="BA51" s="16"/>
    </row>
    <row r="52" spans="1:53" x14ac:dyDescent="0.3">
      <c r="A52" t="s">
        <v>85</v>
      </c>
      <c r="B52" s="9">
        <v>46126</v>
      </c>
      <c r="C52">
        <v>0</v>
      </c>
      <c r="D52" t="s">
        <v>84</v>
      </c>
      <c r="E52">
        <v>2103</v>
      </c>
      <c r="F52">
        <v>2103</v>
      </c>
      <c r="G52"/>
      <c r="H52"/>
      <c r="J52" t="s">
        <v>97</v>
      </c>
      <c r="K52" t="s">
        <v>98</v>
      </c>
      <c r="L52" t="s">
        <v>308</v>
      </c>
      <c r="M52" t="s">
        <v>86</v>
      </c>
      <c r="N52" t="s">
        <v>309</v>
      </c>
      <c r="O52" t="s">
        <v>87</v>
      </c>
      <c r="P52" t="s">
        <v>99</v>
      </c>
      <c r="Q52" t="s">
        <v>100</v>
      </c>
      <c r="R52">
        <v>2026</v>
      </c>
      <c r="S52">
        <v>2026</v>
      </c>
      <c r="T52" t="s">
        <v>101</v>
      </c>
      <c r="U52">
        <v>85</v>
      </c>
      <c r="V52">
        <v>133248</v>
      </c>
      <c r="W52">
        <v>139.63</v>
      </c>
      <c r="X52">
        <v>587.41999999999996</v>
      </c>
      <c r="Y52">
        <v>0</v>
      </c>
      <c r="Z52">
        <v>59.84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19987.2</v>
      </c>
      <c r="AG52">
        <v>2220000</v>
      </c>
      <c r="AH52">
        <v>1000000</v>
      </c>
      <c r="AI52">
        <v>200000</v>
      </c>
      <c r="AJ52">
        <v>1000000</v>
      </c>
      <c r="AK52">
        <v>10000</v>
      </c>
      <c r="AL52">
        <v>10000</v>
      </c>
      <c r="AM52" s="42">
        <v>46113</v>
      </c>
      <c r="AN52" s="42">
        <v>46447</v>
      </c>
      <c r="AO52">
        <v>0</v>
      </c>
      <c r="AP52">
        <v>0</v>
      </c>
      <c r="AQ52">
        <v>0</v>
      </c>
      <c r="AR52" s="8">
        <f t="shared" si="0"/>
        <v>2194.17</v>
      </c>
      <c r="AS52" s="38">
        <f t="shared" si="1"/>
        <v>1649.2698221999999</v>
      </c>
      <c r="AT52" s="39" t="s">
        <v>121</v>
      </c>
      <c r="AU52" s="40">
        <f>VLOOKUP(N52,'Apólice Endosso'!D:XFD,23,0)</f>
        <v>0</v>
      </c>
      <c r="AV52" s="39" t="str">
        <f>VLOOKUP(N52,'Apólice Endosso'!D:XFD,28,0)</f>
        <v>Padrão (100%) sem blindagem - 1M - Contrato 2025</v>
      </c>
      <c r="AW52" s="41" t="str">
        <f>IF(VLOOKUP(N52,'Apólice Endosso'!D:XFD,47,0)=0,"",VLOOKUP(N52,'Apólice Endosso'!D:XFD,47,0))</f>
        <v/>
      </c>
      <c r="AX52" s="40">
        <f>VLOOKUP(N52,'Apólice Endosso'!D:XFD,30,0)</f>
        <v>7049</v>
      </c>
      <c r="AY52" s="36">
        <v>1673.5924660000003</v>
      </c>
      <c r="AZ52" s="16">
        <v>7049</v>
      </c>
      <c r="BA52" s="16"/>
    </row>
    <row r="53" spans="1:53" x14ac:dyDescent="0.3">
      <c r="A53" t="s">
        <v>85</v>
      </c>
      <c r="B53" s="9">
        <v>46126</v>
      </c>
      <c r="C53">
        <v>0</v>
      </c>
      <c r="D53" t="s">
        <v>84</v>
      </c>
      <c r="E53">
        <v>2103</v>
      </c>
      <c r="F53">
        <v>2103</v>
      </c>
      <c r="G53"/>
      <c r="H53"/>
      <c r="J53" t="s">
        <v>97</v>
      </c>
      <c r="K53" t="s">
        <v>98</v>
      </c>
      <c r="L53" t="s">
        <v>310</v>
      </c>
      <c r="M53" t="s">
        <v>86</v>
      </c>
      <c r="N53" t="s">
        <v>311</v>
      </c>
      <c r="O53" t="s">
        <v>87</v>
      </c>
      <c r="P53" t="s">
        <v>102</v>
      </c>
      <c r="Q53" t="s">
        <v>103</v>
      </c>
      <c r="R53">
        <v>2025</v>
      </c>
      <c r="S53">
        <v>2026</v>
      </c>
      <c r="T53" t="s">
        <v>101</v>
      </c>
      <c r="U53">
        <v>85</v>
      </c>
      <c r="V53">
        <v>133248</v>
      </c>
      <c r="W53">
        <v>139.63</v>
      </c>
      <c r="X53">
        <v>587.41999999999996</v>
      </c>
      <c r="Y53">
        <v>0</v>
      </c>
      <c r="Z53">
        <v>59.84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19987.2</v>
      </c>
      <c r="AG53">
        <v>2220000</v>
      </c>
      <c r="AH53">
        <v>1000000</v>
      </c>
      <c r="AI53">
        <v>200000</v>
      </c>
      <c r="AJ53">
        <v>1000000</v>
      </c>
      <c r="AK53">
        <v>10000</v>
      </c>
      <c r="AL53">
        <v>10000</v>
      </c>
      <c r="AM53" s="42">
        <v>46113</v>
      </c>
      <c r="AN53" s="42">
        <v>46447</v>
      </c>
      <c r="AO53">
        <v>0</v>
      </c>
      <c r="AP53">
        <v>0</v>
      </c>
      <c r="AQ53">
        <v>0</v>
      </c>
      <c r="AR53" s="8">
        <f t="shared" si="0"/>
        <v>2194.17</v>
      </c>
      <c r="AS53" s="38">
        <f t="shared" si="1"/>
        <v>1649.2698221999999</v>
      </c>
      <c r="AT53" s="39" t="s">
        <v>121</v>
      </c>
      <c r="AU53" s="40">
        <f>VLOOKUP(N53,'Apólice Endosso'!D:XFD,23,0)</f>
        <v>0</v>
      </c>
      <c r="AV53" s="39" t="str">
        <f>VLOOKUP(N53,'Apólice Endosso'!D:XFD,28,0)</f>
        <v>Padrão (100%) sem blindagem - 1M - Contrato 2025</v>
      </c>
      <c r="AW53" s="41" t="str">
        <f>IF(VLOOKUP(N53,'Apólice Endosso'!D:XFD,47,0)=0,"",VLOOKUP(N53,'Apólice Endosso'!D:XFD,47,0))</f>
        <v/>
      </c>
      <c r="AX53" s="40">
        <f>VLOOKUP(N53,'Apólice Endosso'!D:XFD,30,0)</f>
        <v>7049</v>
      </c>
      <c r="AY53" s="36">
        <v>1673.5924660000003</v>
      </c>
      <c r="AZ53" s="16">
        <v>7049</v>
      </c>
      <c r="BA53" s="16"/>
    </row>
    <row r="54" spans="1:53" x14ac:dyDescent="0.3">
      <c r="A54" t="s">
        <v>85</v>
      </c>
      <c r="B54" s="9">
        <v>46127</v>
      </c>
      <c r="C54">
        <v>0</v>
      </c>
      <c r="D54" t="s">
        <v>84</v>
      </c>
      <c r="E54">
        <v>2103</v>
      </c>
      <c r="F54">
        <v>2103</v>
      </c>
      <c r="G54"/>
      <c r="H54"/>
      <c r="J54" t="s">
        <v>97</v>
      </c>
      <c r="K54" t="s">
        <v>98</v>
      </c>
      <c r="L54" t="s">
        <v>312</v>
      </c>
      <c r="M54" t="s">
        <v>86</v>
      </c>
      <c r="N54" t="s">
        <v>313</v>
      </c>
      <c r="O54" t="s">
        <v>87</v>
      </c>
      <c r="P54" t="s">
        <v>99</v>
      </c>
      <c r="Q54" t="s">
        <v>100</v>
      </c>
      <c r="R54">
        <v>2026</v>
      </c>
      <c r="S54">
        <v>2026</v>
      </c>
      <c r="T54" t="s">
        <v>101</v>
      </c>
      <c r="U54">
        <v>85</v>
      </c>
      <c r="V54">
        <v>133248</v>
      </c>
      <c r="W54">
        <v>139.63</v>
      </c>
      <c r="X54">
        <v>587.41999999999996</v>
      </c>
      <c r="Y54">
        <v>0</v>
      </c>
      <c r="Z54">
        <v>59.84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19987.2</v>
      </c>
      <c r="AG54">
        <v>2220000</v>
      </c>
      <c r="AH54">
        <v>1000000</v>
      </c>
      <c r="AI54">
        <v>200000</v>
      </c>
      <c r="AJ54">
        <v>1000000</v>
      </c>
      <c r="AK54">
        <v>10000</v>
      </c>
      <c r="AL54">
        <v>10000</v>
      </c>
      <c r="AM54" s="42">
        <v>46113</v>
      </c>
      <c r="AN54" s="42">
        <v>46447</v>
      </c>
      <c r="AO54">
        <v>0</v>
      </c>
      <c r="AP54">
        <v>0</v>
      </c>
      <c r="AQ54">
        <v>0</v>
      </c>
      <c r="AR54" s="8">
        <f t="shared" si="0"/>
        <v>2194.17</v>
      </c>
      <c r="AS54" s="38">
        <f t="shared" si="1"/>
        <v>1649.2698221999999</v>
      </c>
      <c r="AT54" s="39" t="s">
        <v>121</v>
      </c>
      <c r="AU54" s="40">
        <f>VLOOKUP(N54,'Apólice Endosso'!D:XFD,23,0)</f>
        <v>0</v>
      </c>
      <c r="AV54" s="39" t="str">
        <f>VLOOKUP(N54,'Apólice Endosso'!D:XFD,28,0)</f>
        <v>Padrão (100%) sem blindagem - 1M - Contrato 2025</v>
      </c>
      <c r="AW54" s="41" t="str">
        <f>IF(VLOOKUP(N54,'Apólice Endosso'!D:XFD,47,0)=0,"",VLOOKUP(N54,'Apólice Endosso'!D:XFD,47,0))</f>
        <v/>
      </c>
      <c r="AX54" s="40">
        <f>VLOOKUP(N54,'Apólice Endosso'!D:XFD,30,0)</f>
        <v>7049</v>
      </c>
      <c r="AY54" s="36">
        <v>1673.5924660000003</v>
      </c>
      <c r="AZ54" s="16">
        <v>7049</v>
      </c>
      <c r="BA54" s="16"/>
    </row>
    <row r="55" spans="1:53" x14ac:dyDescent="0.3">
      <c r="A55" t="s">
        <v>85</v>
      </c>
      <c r="B55" s="9">
        <v>46127</v>
      </c>
      <c r="C55">
        <v>0</v>
      </c>
      <c r="D55" t="s">
        <v>84</v>
      </c>
      <c r="E55">
        <v>2103</v>
      </c>
      <c r="F55">
        <v>2103</v>
      </c>
      <c r="G55"/>
      <c r="H55"/>
      <c r="J55" t="s">
        <v>97</v>
      </c>
      <c r="K55" t="s">
        <v>98</v>
      </c>
      <c r="L55" t="s">
        <v>314</v>
      </c>
      <c r="M55" t="s">
        <v>86</v>
      </c>
      <c r="N55" t="s">
        <v>315</v>
      </c>
      <c r="O55" t="s">
        <v>87</v>
      </c>
      <c r="P55" t="s">
        <v>99</v>
      </c>
      <c r="Q55" t="s">
        <v>100</v>
      </c>
      <c r="R55">
        <v>2026</v>
      </c>
      <c r="S55">
        <v>2026</v>
      </c>
      <c r="T55" t="s">
        <v>101</v>
      </c>
      <c r="U55">
        <v>85</v>
      </c>
      <c r="V55">
        <v>133248</v>
      </c>
      <c r="W55">
        <v>139.63</v>
      </c>
      <c r="X55">
        <v>587.41999999999996</v>
      </c>
      <c r="Y55">
        <v>0</v>
      </c>
      <c r="Z55">
        <v>59.84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19987.2</v>
      </c>
      <c r="AG55">
        <v>2220000</v>
      </c>
      <c r="AH55">
        <v>1000000</v>
      </c>
      <c r="AI55">
        <v>200000</v>
      </c>
      <c r="AJ55">
        <v>1000000</v>
      </c>
      <c r="AK55">
        <v>10000</v>
      </c>
      <c r="AL55">
        <v>10000</v>
      </c>
      <c r="AM55" s="42">
        <v>46113</v>
      </c>
      <c r="AN55" s="42">
        <v>46447</v>
      </c>
      <c r="AO55">
        <v>0</v>
      </c>
      <c r="AP55">
        <v>0</v>
      </c>
      <c r="AQ55">
        <v>0</v>
      </c>
      <c r="AR55" s="8">
        <f t="shared" si="0"/>
        <v>2194.17</v>
      </c>
      <c r="AS55" s="38">
        <f t="shared" si="1"/>
        <v>1649.2698221999999</v>
      </c>
      <c r="AT55" s="39" t="s">
        <v>121</v>
      </c>
      <c r="AU55" s="40">
        <f>VLOOKUP(N55,'Apólice Endosso'!D:XFD,23,0)</f>
        <v>0</v>
      </c>
      <c r="AV55" s="39" t="str">
        <f>VLOOKUP(N55,'Apólice Endosso'!D:XFD,28,0)</f>
        <v>Padrão (100%) sem blindagem - 1M - Contrato 2025</v>
      </c>
      <c r="AW55" s="41" t="str">
        <f>IF(VLOOKUP(N55,'Apólice Endosso'!D:XFD,47,0)=0,"",VLOOKUP(N55,'Apólice Endosso'!D:XFD,47,0))</f>
        <v/>
      </c>
      <c r="AX55" s="40">
        <f>VLOOKUP(N55,'Apólice Endosso'!D:XFD,30,0)</f>
        <v>7049</v>
      </c>
      <c r="AY55" s="36">
        <v>1673.5924660000003</v>
      </c>
      <c r="AZ55" s="16">
        <v>7049</v>
      </c>
      <c r="BA55" s="16"/>
    </row>
    <row r="56" spans="1:53" x14ac:dyDescent="0.3">
      <c r="A56" t="s">
        <v>85</v>
      </c>
      <c r="B56" s="9">
        <v>46127</v>
      </c>
      <c r="C56">
        <v>0</v>
      </c>
      <c r="D56" t="s">
        <v>84</v>
      </c>
      <c r="E56">
        <v>2103</v>
      </c>
      <c r="F56">
        <v>2103</v>
      </c>
      <c r="G56"/>
      <c r="H56"/>
      <c r="J56" t="s">
        <v>178</v>
      </c>
      <c r="K56" t="s">
        <v>179</v>
      </c>
      <c r="L56" t="s">
        <v>316</v>
      </c>
      <c r="M56" t="s">
        <v>86</v>
      </c>
      <c r="N56" t="s">
        <v>317</v>
      </c>
      <c r="O56" t="s">
        <v>87</v>
      </c>
      <c r="P56" t="s">
        <v>182</v>
      </c>
      <c r="Q56" t="s">
        <v>183</v>
      </c>
      <c r="R56">
        <v>2026</v>
      </c>
      <c r="S56">
        <v>2026</v>
      </c>
      <c r="T56" t="s">
        <v>184</v>
      </c>
      <c r="U56">
        <v>85</v>
      </c>
      <c r="V56">
        <v>104702</v>
      </c>
      <c r="W56">
        <v>175.49</v>
      </c>
      <c r="X56">
        <v>485.38</v>
      </c>
      <c r="Y56">
        <v>0</v>
      </c>
      <c r="Z56">
        <v>75.209999999999994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15705.3</v>
      </c>
      <c r="AG56">
        <v>320000</v>
      </c>
      <c r="AH56">
        <v>150000</v>
      </c>
      <c r="AI56">
        <v>0</v>
      </c>
      <c r="AJ56">
        <v>150000</v>
      </c>
      <c r="AK56">
        <v>10000</v>
      </c>
      <c r="AL56">
        <v>10000</v>
      </c>
      <c r="AM56" s="42">
        <v>46113</v>
      </c>
      <c r="AN56" s="42">
        <v>46447</v>
      </c>
      <c r="AO56">
        <v>0</v>
      </c>
      <c r="AP56">
        <v>0</v>
      </c>
      <c r="AQ56">
        <v>0</v>
      </c>
      <c r="AR56" s="8">
        <f t="shared" si="0"/>
        <v>2757.7</v>
      </c>
      <c r="AS56" s="38">
        <f t="shared" si="1"/>
        <v>2072.8527819999995</v>
      </c>
      <c r="AT56" s="39" t="s">
        <v>858</v>
      </c>
      <c r="AU56" s="40">
        <f>VLOOKUP(N56,'Apólice Endosso'!D:XFD,23,0)</f>
        <v>0</v>
      </c>
      <c r="AV56" s="39" t="str">
        <f>VLOOKUP(N56,'Apólice Endosso'!D:XFD,28,0)</f>
        <v>Padrão (100%) sem blindagem - 150k - Contrato 2025</v>
      </c>
      <c r="AW56" s="41" t="str">
        <f>IF(VLOOKUP(N56,'Apólice Endosso'!D:XFD,47,0)=0,"",VLOOKUP(N56,'Apólice Endosso'!D:XFD,47,0))</f>
        <v/>
      </c>
      <c r="AX56" s="40">
        <f>VLOOKUP(N56,'Apólice Endosso'!D:XFD,30,0)</f>
        <v>5824.6</v>
      </c>
      <c r="AY56" s="36">
        <v>2061.2020520000001</v>
      </c>
      <c r="AZ56" s="16">
        <v>5824.6</v>
      </c>
      <c r="BA56" s="16"/>
    </row>
    <row r="57" spans="1:53" x14ac:dyDescent="0.3">
      <c r="A57" t="s">
        <v>85</v>
      </c>
      <c r="B57" s="9">
        <v>46127</v>
      </c>
      <c r="C57">
        <v>0</v>
      </c>
      <c r="D57" t="s">
        <v>84</v>
      </c>
      <c r="E57">
        <v>2103</v>
      </c>
      <c r="F57">
        <v>2103</v>
      </c>
      <c r="G57"/>
      <c r="H57"/>
      <c r="J57" t="s">
        <v>178</v>
      </c>
      <c r="K57" t="s">
        <v>179</v>
      </c>
      <c r="L57" t="s">
        <v>318</v>
      </c>
      <c r="M57" t="s">
        <v>86</v>
      </c>
      <c r="N57" t="s">
        <v>319</v>
      </c>
      <c r="O57" t="s">
        <v>87</v>
      </c>
      <c r="P57" t="s">
        <v>182</v>
      </c>
      <c r="Q57" t="s">
        <v>183</v>
      </c>
      <c r="R57">
        <v>2026</v>
      </c>
      <c r="S57">
        <v>2026</v>
      </c>
      <c r="T57" t="s">
        <v>184</v>
      </c>
      <c r="U57">
        <v>85</v>
      </c>
      <c r="V57">
        <v>104702</v>
      </c>
      <c r="W57">
        <v>175.49</v>
      </c>
      <c r="X57">
        <v>485.38</v>
      </c>
      <c r="Y57">
        <v>0</v>
      </c>
      <c r="Z57">
        <v>75.209999999999994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15705.3</v>
      </c>
      <c r="AG57">
        <v>320000</v>
      </c>
      <c r="AH57">
        <v>150000</v>
      </c>
      <c r="AI57">
        <v>0</v>
      </c>
      <c r="AJ57">
        <v>150000</v>
      </c>
      <c r="AK57">
        <v>10000</v>
      </c>
      <c r="AL57">
        <v>10000</v>
      </c>
      <c r="AM57" s="42">
        <v>46113</v>
      </c>
      <c r="AN57" s="42">
        <v>46447</v>
      </c>
      <c r="AO57">
        <v>0</v>
      </c>
      <c r="AP57">
        <v>0</v>
      </c>
      <c r="AQ57">
        <v>0</v>
      </c>
      <c r="AR57" s="8">
        <f t="shared" si="0"/>
        <v>2757.7</v>
      </c>
      <c r="AS57" s="38">
        <f t="shared" si="1"/>
        <v>2072.8527819999995</v>
      </c>
      <c r="AT57" s="39" t="s">
        <v>858</v>
      </c>
      <c r="AU57" s="40">
        <f>VLOOKUP(N57,'Apólice Endosso'!D:XFD,23,0)</f>
        <v>0</v>
      </c>
      <c r="AV57" s="39" t="str">
        <f>VLOOKUP(N57,'Apólice Endosso'!D:XFD,28,0)</f>
        <v>Padrão (100%) sem blindagem - 150k - Contrato 2025</v>
      </c>
      <c r="AW57" s="41" t="str">
        <f>IF(VLOOKUP(N57,'Apólice Endosso'!D:XFD,47,0)=0,"",VLOOKUP(N57,'Apólice Endosso'!D:XFD,47,0))</f>
        <v/>
      </c>
      <c r="AX57" s="40">
        <f>VLOOKUP(N57,'Apólice Endosso'!D:XFD,30,0)</f>
        <v>5824.6</v>
      </c>
      <c r="AY57" s="36">
        <v>2061.2020520000001</v>
      </c>
      <c r="AZ57" s="16">
        <v>5824.6</v>
      </c>
      <c r="BA57" s="16"/>
    </row>
    <row r="58" spans="1:53" x14ac:dyDescent="0.3">
      <c r="A58" t="s">
        <v>85</v>
      </c>
      <c r="B58" s="9">
        <v>46127</v>
      </c>
      <c r="C58">
        <v>0</v>
      </c>
      <c r="D58" t="s">
        <v>84</v>
      </c>
      <c r="E58">
        <v>2103</v>
      </c>
      <c r="F58">
        <v>2103</v>
      </c>
      <c r="G58"/>
      <c r="H58"/>
      <c r="J58" t="s">
        <v>178</v>
      </c>
      <c r="K58" t="s">
        <v>179</v>
      </c>
      <c r="L58" t="s">
        <v>320</v>
      </c>
      <c r="M58" t="s">
        <v>86</v>
      </c>
      <c r="N58" t="s">
        <v>321</v>
      </c>
      <c r="O58" t="s">
        <v>87</v>
      </c>
      <c r="P58" t="s">
        <v>182</v>
      </c>
      <c r="Q58" t="s">
        <v>183</v>
      </c>
      <c r="R58">
        <v>2026</v>
      </c>
      <c r="S58">
        <v>2026</v>
      </c>
      <c r="T58" t="s">
        <v>184</v>
      </c>
      <c r="U58">
        <v>85</v>
      </c>
      <c r="V58">
        <v>104702</v>
      </c>
      <c r="W58">
        <v>175.49</v>
      </c>
      <c r="X58">
        <v>485.38</v>
      </c>
      <c r="Y58">
        <v>0</v>
      </c>
      <c r="Z58">
        <v>75.209999999999994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15705.3</v>
      </c>
      <c r="AG58">
        <v>320000</v>
      </c>
      <c r="AH58">
        <v>150000</v>
      </c>
      <c r="AI58">
        <v>0</v>
      </c>
      <c r="AJ58">
        <v>150000</v>
      </c>
      <c r="AK58">
        <v>10000</v>
      </c>
      <c r="AL58">
        <v>10000</v>
      </c>
      <c r="AM58" s="42">
        <v>46113</v>
      </c>
      <c r="AN58" s="42">
        <v>46447</v>
      </c>
      <c r="AO58">
        <v>0</v>
      </c>
      <c r="AP58">
        <v>0</v>
      </c>
      <c r="AQ58">
        <v>0</v>
      </c>
      <c r="AR58" s="8">
        <f t="shared" si="0"/>
        <v>2757.7</v>
      </c>
      <c r="AS58" s="38">
        <f t="shared" si="1"/>
        <v>2072.8527819999995</v>
      </c>
      <c r="AT58" s="39" t="s">
        <v>858</v>
      </c>
      <c r="AU58" s="40">
        <f>VLOOKUP(N58,'Apólice Endosso'!D:XFD,23,0)</f>
        <v>0</v>
      </c>
      <c r="AV58" s="39" t="str">
        <f>VLOOKUP(N58,'Apólice Endosso'!D:XFD,28,0)</f>
        <v>Padrão (100%) sem blindagem - 150k - Contrato 2025</v>
      </c>
      <c r="AW58" s="41" t="str">
        <f>IF(VLOOKUP(N58,'Apólice Endosso'!D:XFD,47,0)=0,"",VLOOKUP(N58,'Apólice Endosso'!D:XFD,47,0))</f>
        <v/>
      </c>
      <c r="AX58" s="40">
        <f>VLOOKUP(N58,'Apólice Endosso'!D:XFD,30,0)</f>
        <v>5824.6</v>
      </c>
      <c r="AY58" s="36">
        <v>2061.2020520000001</v>
      </c>
      <c r="AZ58" s="16">
        <v>5824.6</v>
      </c>
      <c r="BA58" s="16"/>
    </row>
    <row r="59" spans="1:53" x14ac:dyDescent="0.3">
      <c r="A59" t="s">
        <v>85</v>
      </c>
      <c r="B59" s="9">
        <v>46127</v>
      </c>
      <c r="C59">
        <v>0</v>
      </c>
      <c r="D59" t="s">
        <v>84</v>
      </c>
      <c r="E59">
        <v>2103</v>
      </c>
      <c r="F59">
        <v>2103</v>
      </c>
      <c r="G59"/>
      <c r="H59"/>
      <c r="J59" t="s">
        <v>97</v>
      </c>
      <c r="K59" t="s">
        <v>98</v>
      </c>
      <c r="L59" t="s">
        <v>322</v>
      </c>
      <c r="M59" t="s">
        <v>86</v>
      </c>
      <c r="N59" t="s">
        <v>323</v>
      </c>
      <c r="O59" t="s">
        <v>87</v>
      </c>
      <c r="P59" t="s">
        <v>99</v>
      </c>
      <c r="Q59" t="s">
        <v>100</v>
      </c>
      <c r="R59">
        <v>2026</v>
      </c>
      <c r="S59">
        <v>2026</v>
      </c>
      <c r="T59" t="s">
        <v>101</v>
      </c>
      <c r="U59">
        <v>85</v>
      </c>
      <c r="V59">
        <v>133248</v>
      </c>
      <c r="W59">
        <v>139.63</v>
      </c>
      <c r="X59">
        <v>587.41999999999996</v>
      </c>
      <c r="Y59">
        <v>0</v>
      </c>
      <c r="Z59">
        <v>59.84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19987.2</v>
      </c>
      <c r="AG59">
        <v>2220000</v>
      </c>
      <c r="AH59">
        <v>1000000</v>
      </c>
      <c r="AI59">
        <v>200000</v>
      </c>
      <c r="AJ59">
        <v>1000000</v>
      </c>
      <c r="AK59">
        <v>10000</v>
      </c>
      <c r="AL59">
        <v>10000</v>
      </c>
      <c r="AM59" s="42">
        <v>46113</v>
      </c>
      <c r="AN59" s="42">
        <v>46447</v>
      </c>
      <c r="AO59">
        <v>0</v>
      </c>
      <c r="AP59">
        <v>0</v>
      </c>
      <c r="AQ59">
        <v>0</v>
      </c>
      <c r="AR59" s="8">
        <f t="shared" si="0"/>
        <v>2194.17</v>
      </c>
      <c r="AS59" s="38">
        <f t="shared" si="1"/>
        <v>1649.2698221999999</v>
      </c>
      <c r="AT59" s="39" t="s">
        <v>121</v>
      </c>
      <c r="AU59" s="40">
        <f>VLOOKUP(N59,'Apólice Endosso'!D:XFD,23,0)</f>
        <v>0</v>
      </c>
      <c r="AV59" s="39" t="str">
        <f>VLOOKUP(N59,'Apólice Endosso'!D:XFD,28,0)</f>
        <v>Padrão (100%) sem blindagem - 1M - Contrato 2025</v>
      </c>
      <c r="AW59" s="41" t="str">
        <f>IF(VLOOKUP(N59,'Apólice Endosso'!D:XFD,47,0)=0,"",VLOOKUP(N59,'Apólice Endosso'!D:XFD,47,0))</f>
        <v/>
      </c>
      <c r="AX59" s="40">
        <f>VLOOKUP(N59,'Apólice Endosso'!D:XFD,30,0)</f>
        <v>7049</v>
      </c>
      <c r="AY59" s="36">
        <v>1673.5924660000003</v>
      </c>
      <c r="AZ59" s="16">
        <v>7049</v>
      </c>
      <c r="BA59" s="16"/>
    </row>
    <row r="60" spans="1:53" x14ac:dyDescent="0.3">
      <c r="A60" t="s">
        <v>85</v>
      </c>
      <c r="B60" s="9">
        <v>46127</v>
      </c>
      <c r="C60">
        <v>0</v>
      </c>
      <c r="D60" t="s">
        <v>84</v>
      </c>
      <c r="E60">
        <v>2103</v>
      </c>
      <c r="F60">
        <v>2103</v>
      </c>
      <c r="G60"/>
      <c r="H60"/>
      <c r="J60" t="s">
        <v>97</v>
      </c>
      <c r="K60" t="s">
        <v>98</v>
      </c>
      <c r="L60" t="s">
        <v>324</v>
      </c>
      <c r="M60" t="s">
        <v>86</v>
      </c>
      <c r="N60" t="s">
        <v>325</v>
      </c>
      <c r="O60" t="s">
        <v>87</v>
      </c>
      <c r="P60" t="s">
        <v>102</v>
      </c>
      <c r="Q60" t="s">
        <v>103</v>
      </c>
      <c r="R60">
        <v>2025</v>
      </c>
      <c r="S60">
        <v>2026</v>
      </c>
      <c r="T60" t="s">
        <v>101</v>
      </c>
      <c r="U60">
        <v>85</v>
      </c>
      <c r="V60">
        <v>133248</v>
      </c>
      <c r="W60">
        <v>139.63</v>
      </c>
      <c r="X60">
        <v>587.41999999999996</v>
      </c>
      <c r="Y60">
        <v>0</v>
      </c>
      <c r="Z60">
        <v>59.84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19987.2</v>
      </c>
      <c r="AG60">
        <v>2220000</v>
      </c>
      <c r="AH60">
        <v>1000000</v>
      </c>
      <c r="AI60">
        <v>200000</v>
      </c>
      <c r="AJ60">
        <v>1000000</v>
      </c>
      <c r="AK60">
        <v>10000</v>
      </c>
      <c r="AL60">
        <v>10000</v>
      </c>
      <c r="AM60" s="42">
        <v>46113</v>
      </c>
      <c r="AN60" s="42">
        <v>46447</v>
      </c>
      <c r="AO60">
        <v>0</v>
      </c>
      <c r="AP60">
        <v>0</v>
      </c>
      <c r="AQ60">
        <v>0</v>
      </c>
      <c r="AR60" s="8">
        <f t="shared" si="0"/>
        <v>2194.17</v>
      </c>
      <c r="AS60" s="38">
        <f t="shared" si="1"/>
        <v>1649.2698221999999</v>
      </c>
      <c r="AT60" s="39" t="s">
        <v>121</v>
      </c>
      <c r="AU60" s="40">
        <f>VLOOKUP(N60,'Apólice Endosso'!D:XFD,23,0)</f>
        <v>0</v>
      </c>
      <c r="AV60" s="39" t="str">
        <f>VLOOKUP(N60,'Apólice Endosso'!D:XFD,28,0)</f>
        <v>Padrão (100%) sem blindagem - 1M - Contrato 2025</v>
      </c>
      <c r="AW60" s="41" t="str">
        <f>IF(VLOOKUP(N60,'Apólice Endosso'!D:XFD,47,0)=0,"",VLOOKUP(N60,'Apólice Endosso'!D:XFD,47,0))</f>
        <v/>
      </c>
      <c r="AX60" s="40">
        <f>VLOOKUP(N60,'Apólice Endosso'!D:XFD,30,0)</f>
        <v>7049</v>
      </c>
      <c r="AY60" s="36">
        <v>1673.5924660000003</v>
      </c>
      <c r="AZ60" s="16">
        <v>7049</v>
      </c>
      <c r="BA60" s="16"/>
    </row>
    <row r="61" spans="1:53" x14ac:dyDescent="0.3">
      <c r="A61" t="s">
        <v>85</v>
      </c>
      <c r="B61" s="9">
        <v>46127</v>
      </c>
      <c r="C61">
        <v>0</v>
      </c>
      <c r="D61" t="s">
        <v>84</v>
      </c>
      <c r="E61">
        <v>2103</v>
      </c>
      <c r="F61">
        <v>2103</v>
      </c>
      <c r="G61"/>
      <c r="H61"/>
      <c r="J61" t="s">
        <v>97</v>
      </c>
      <c r="K61" t="s">
        <v>98</v>
      </c>
      <c r="L61" t="s">
        <v>326</v>
      </c>
      <c r="M61" t="s">
        <v>86</v>
      </c>
      <c r="N61" t="s">
        <v>327</v>
      </c>
      <c r="O61" t="s">
        <v>87</v>
      </c>
      <c r="P61" t="s">
        <v>99</v>
      </c>
      <c r="Q61" t="s">
        <v>100</v>
      </c>
      <c r="R61">
        <v>2026</v>
      </c>
      <c r="S61">
        <v>2026</v>
      </c>
      <c r="T61" t="s">
        <v>101</v>
      </c>
      <c r="U61">
        <v>85</v>
      </c>
      <c r="V61">
        <v>133248</v>
      </c>
      <c r="W61">
        <v>139.63</v>
      </c>
      <c r="X61">
        <v>587.41999999999996</v>
      </c>
      <c r="Y61">
        <v>0</v>
      </c>
      <c r="Z61">
        <v>59.84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19987.2</v>
      </c>
      <c r="AG61">
        <v>2220000</v>
      </c>
      <c r="AH61">
        <v>1000000</v>
      </c>
      <c r="AI61">
        <v>200000</v>
      </c>
      <c r="AJ61">
        <v>1000000</v>
      </c>
      <c r="AK61">
        <v>10000</v>
      </c>
      <c r="AL61">
        <v>10000</v>
      </c>
      <c r="AM61" s="42">
        <v>46113</v>
      </c>
      <c r="AN61" s="42">
        <v>46447</v>
      </c>
      <c r="AO61">
        <v>0</v>
      </c>
      <c r="AP61">
        <v>0</v>
      </c>
      <c r="AQ61">
        <v>0</v>
      </c>
      <c r="AR61" s="8">
        <f t="shared" si="0"/>
        <v>2194.17</v>
      </c>
      <c r="AS61" s="38">
        <f t="shared" si="1"/>
        <v>1649.2698221999999</v>
      </c>
      <c r="AT61" s="39" t="s">
        <v>121</v>
      </c>
      <c r="AU61" s="40">
        <f>VLOOKUP(N61,'Apólice Endosso'!D:XFD,23,0)</f>
        <v>0</v>
      </c>
      <c r="AV61" s="39" t="str">
        <f>VLOOKUP(N61,'Apólice Endosso'!D:XFD,28,0)</f>
        <v>Padrão (100%) sem blindagem - 1M - Contrato 2025</v>
      </c>
      <c r="AW61" s="41" t="str">
        <f>IF(VLOOKUP(N61,'Apólice Endosso'!D:XFD,47,0)=0,"",VLOOKUP(N61,'Apólice Endosso'!D:XFD,47,0))</f>
        <v/>
      </c>
      <c r="AX61" s="40">
        <f>VLOOKUP(N61,'Apólice Endosso'!D:XFD,30,0)</f>
        <v>7049</v>
      </c>
      <c r="AY61" s="36">
        <v>1673.5924660000003</v>
      </c>
      <c r="AZ61" s="16">
        <v>7049</v>
      </c>
      <c r="BA61" s="16"/>
    </row>
    <row r="62" spans="1:53" x14ac:dyDescent="0.3">
      <c r="A62" t="s">
        <v>85</v>
      </c>
      <c r="B62" s="9">
        <v>46132</v>
      </c>
      <c r="C62">
        <v>0</v>
      </c>
      <c r="D62" t="s">
        <v>84</v>
      </c>
      <c r="E62">
        <v>2103</v>
      </c>
      <c r="F62">
        <v>2103</v>
      </c>
      <c r="G62"/>
      <c r="H62"/>
      <c r="J62" t="s">
        <v>149</v>
      </c>
      <c r="K62" t="s">
        <v>150</v>
      </c>
      <c r="L62" t="s">
        <v>328</v>
      </c>
      <c r="M62" t="s">
        <v>86</v>
      </c>
      <c r="N62" t="s">
        <v>329</v>
      </c>
      <c r="O62" t="s">
        <v>87</v>
      </c>
      <c r="P62" t="s">
        <v>89</v>
      </c>
      <c r="Q62" t="s">
        <v>90</v>
      </c>
      <c r="R62">
        <v>2026</v>
      </c>
      <c r="S62">
        <v>2026</v>
      </c>
      <c r="T62" t="s">
        <v>88</v>
      </c>
      <c r="U62">
        <v>85</v>
      </c>
      <c r="V62">
        <v>84669</v>
      </c>
      <c r="W62">
        <v>152.16</v>
      </c>
      <c r="X62">
        <v>420.86</v>
      </c>
      <c r="Y62">
        <v>0</v>
      </c>
      <c r="Z62">
        <v>65.209999999999994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12700.35</v>
      </c>
      <c r="AG62">
        <v>320000</v>
      </c>
      <c r="AH62">
        <v>150000</v>
      </c>
      <c r="AI62">
        <v>0</v>
      </c>
      <c r="AJ62">
        <v>150000</v>
      </c>
      <c r="AK62">
        <v>10000</v>
      </c>
      <c r="AL62">
        <v>10000</v>
      </c>
      <c r="AM62" s="42">
        <v>46113</v>
      </c>
      <c r="AN62" s="42">
        <v>46447</v>
      </c>
      <c r="AO62">
        <v>0</v>
      </c>
      <c r="AP62">
        <v>0</v>
      </c>
      <c r="AQ62">
        <v>0</v>
      </c>
      <c r="AR62" s="8">
        <f t="shared" si="0"/>
        <v>2391.0700000000002</v>
      </c>
      <c r="AS62" s="38">
        <f t="shared" si="1"/>
        <v>1797.2716762</v>
      </c>
      <c r="AT62" s="39" t="s">
        <v>173</v>
      </c>
      <c r="AU62" s="40">
        <f>VLOOKUP(N62,'Apólice Endosso'!D:XFD,23,0)</f>
        <v>0</v>
      </c>
      <c r="AV62" s="39" t="str">
        <f>VLOOKUP(N62,'Apólice Endosso'!D:XFD,28,0)</f>
        <v>Padrão (100%) sem blindagem - 150k - Contrato 2025</v>
      </c>
      <c r="AW62" s="41" t="str">
        <f>IF(VLOOKUP(N62,'Apólice Endosso'!D:XFD,47,0)=0,"",VLOOKUP(N62,'Apólice Endosso'!D:XFD,47,0))</f>
        <v/>
      </c>
      <c r="AX62" s="40">
        <f>VLOOKUP(N62,'Apólice Endosso'!D:XFD,30,0)</f>
        <v>5050.3500000000004</v>
      </c>
      <c r="AY62" s="36">
        <v>1809.0308599999998</v>
      </c>
      <c r="AZ62" s="16">
        <v>5050.3500000000004</v>
      </c>
      <c r="BA62" s="16"/>
    </row>
    <row r="63" spans="1:53" x14ac:dyDescent="0.3">
      <c r="A63" t="s">
        <v>85</v>
      </c>
      <c r="B63" s="9">
        <v>46132</v>
      </c>
      <c r="C63">
        <v>0</v>
      </c>
      <c r="D63" t="s">
        <v>84</v>
      </c>
      <c r="E63">
        <v>2103</v>
      </c>
      <c r="F63">
        <v>2103</v>
      </c>
      <c r="G63"/>
      <c r="H63"/>
      <c r="J63" t="s">
        <v>330</v>
      </c>
      <c r="K63" t="s">
        <v>331</v>
      </c>
      <c r="L63" t="s">
        <v>332</v>
      </c>
      <c r="M63" t="s">
        <v>86</v>
      </c>
      <c r="N63" t="s">
        <v>333</v>
      </c>
      <c r="O63" t="s">
        <v>87</v>
      </c>
      <c r="P63" t="s">
        <v>123</v>
      </c>
      <c r="Q63" t="s">
        <v>189</v>
      </c>
      <c r="R63">
        <v>2025</v>
      </c>
      <c r="S63">
        <v>2025</v>
      </c>
      <c r="T63" t="s">
        <v>125</v>
      </c>
      <c r="U63">
        <v>85</v>
      </c>
      <c r="V63">
        <v>0</v>
      </c>
      <c r="W63">
        <v>231.98</v>
      </c>
      <c r="X63">
        <v>1458.29</v>
      </c>
      <c r="Y63">
        <v>0</v>
      </c>
      <c r="Z63">
        <v>99.42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620000</v>
      </c>
      <c r="AH63">
        <v>300000</v>
      </c>
      <c r="AI63">
        <v>0</v>
      </c>
      <c r="AJ63">
        <v>300000</v>
      </c>
      <c r="AK63">
        <v>10000</v>
      </c>
      <c r="AL63">
        <v>10000</v>
      </c>
      <c r="AM63" s="42">
        <v>46113</v>
      </c>
      <c r="AN63" s="42">
        <v>46447</v>
      </c>
      <c r="AO63">
        <v>0</v>
      </c>
      <c r="AP63">
        <v>0</v>
      </c>
      <c r="AQ63">
        <v>0</v>
      </c>
      <c r="AR63" s="8">
        <f t="shared" si="0"/>
        <v>3645.3999999999996</v>
      </c>
      <c r="AS63" s="38">
        <f t="shared" si="1"/>
        <v>2740.1013639999996</v>
      </c>
      <c r="AT63" s="39" t="s">
        <v>863</v>
      </c>
      <c r="AU63" s="40">
        <f>VLOOKUP(N63,'Apólice Endosso'!D:XFD,23,0)</f>
        <v>0</v>
      </c>
      <c r="AV63" s="39" t="str">
        <f>VLOOKUP(N63,'Apólice Endosso'!D:XFD,28,0)</f>
        <v>Padrão (100%) sem blindagem - 300k - Contrato 2025</v>
      </c>
      <c r="AW63" s="41" t="str">
        <f>IF(VLOOKUP(N63,'Apólice Endosso'!D:XFD,47,0)=0,"",VLOOKUP(N63,'Apólice Endosso'!D:XFD,47,0))</f>
        <v/>
      </c>
      <c r="AX63" s="40">
        <f>VLOOKUP(N63,'Apólice Endosso'!D:XFD,30,0)</f>
        <v>17499.5</v>
      </c>
      <c r="AY63" s="36">
        <v>2671.7432559999997</v>
      </c>
      <c r="AZ63" s="16">
        <v>17499.5</v>
      </c>
      <c r="BA63" s="16"/>
    </row>
    <row r="64" spans="1:53" x14ac:dyDescent="0.3">
      <c r="A64" t="s">
        <v>85</v>
      </c>
      <c r="B64" s="9">
        <v>46132</v>
      </c>
      <c r="C64">
        <v>0</v>
      </c>
      <c r="D64" t="s">
        <v>84</v>
      </c>
      <c r="E64">
        <v>2103</v>
      </c>
      <c r="F64">
        <v>2103</v>
      </c>
      <c r="G64"/>
      <c r="H64"/>
      <c r="J64" t="s">
        <v>220</v>
      </c>
      <c r="K64" t="s">
        <v>221</v>
      </c>
      <c r="L64" t="s">
        <v>334</v>
      </c>
      <c r="M64" t="s">
        <v>86</v>
      </c>
      <c r="N64" t="s">
        <v>335</v>
      </c>
      <c r="O64" t="s">
        <v>87</v>
      </c>
      <c r="P64" t="s">
        <v>91</v>
      </c>
      <c r="Q64" t="s">
        <v>92</v>
      </c>
      <c r="R64">
        <v>2024</v>
      </c>
      <c r="S64">
        <v>2024</v>
      </c>
      <c r="T64" t="s">
        <v>93</v>
      </c>
      <c r="U64">
        <v>85</v>
      </c>
      <c r="V64">
        <v>0</v>
      </c>
      <c r="W64">
        <v>326.31</v>
      </c>
      <c r="X64">
        <v>2051.25</v>
      </c>
      <c r="Y64">
        <v>0</v>
      </c>
      <c r="Z64">
        <v>139.85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620000</v>
      </c>
      <c r="AH64">
        <v>300000</v>
      </c>
      <c r="AI64">
        <v>0</v>
      </c>
      <c r="AJ64">
        <v>300000</v>
      </c>
      <c r="AK64">
        <v>10000</v>
      </c>
      <c r="AL64">
        <v>10000</v>
      </c>
      <c r="AM64" s="42">
        <v>46113</v>
      </c>
      <c r="AN64" s="42">
        <v>46447</v>
      </c>
      <c r="AO64">
        <v>0</v>
      </c>
      <c r="AP64">
        <v>0</v>
      </c>
      <c r="AQ64">
        <v>0</v>
      </c>
      <c r="AR64" s="8">
        <f t="shared" si="0"/>
        <v>5127.7599999999993</v>
      </c>
      <c r="AS64" s="38">
        <f t="shared" si="1"/>
        <v>3854.3320815999991</v>
      </c>
      <c r="AT64" s="39" t="s">
        <v>168</v>
      </c>
      <c r="AU64" s="40">
        <f>VLOOKUP(N64,'Apólice Endosso'!D:XFD,23,0)</f>
        <v>0</v>
      </c>
      <c r="AV64" s="39" t="str">
        <f>VLOOKUP(N64,'Apólice Endosso'!D:XFD,28,0)</f>
        <v>Padrão (100%) sem blindagem - 300k - Contrato 2025</v>
      </c>
      <c r="AW64" s="41" t="str">
        <f>IF(VLOOKUP(N64,'Apólice Endosso'!D:XFD,47,0)=0,"",VLOOKUP(N64,'Apólice Endosso'!D:XFD,47,0))</f>
        <v/>
      </c>
      <c r="AX64" s="40">
        <f>VLOOKUP(N64,'Apólice Endosso'!D:XFD,30,0)</f>
        <v>24615</v>
      </c>
      <c r="AY64" s="36">
        <v>3691.3593080000001</v>
      </c>
      <c r="AZ64" s="16">
        <v>24615</v>
      </c>
      <c r="BA64" s="16"/>
    </row>
    <row r="65" spans="1:53" x14ac:dyDescent="0.3">
      <c r="A65" t="s">
        <v>85</v>
      </c>
      <c r="B65" s="9">
        <v>46134</v>
      </c>
      <c r="C65">
        <v>0</v>
      </c>
      <c r="D65" t="s">
        <v>84</v>
      </c>
      <c r="E65">
        <v>2103</v>
      </c>
      <c r="F65">
        <v>2103</v>
      </c>
      <c r="G65"/>
      <c r="H65"/>
      <c r="J65" t="s">
        <v>97</v>
      </c>
      <c r="K65" t="s">
        <v>98</v>
      </c>
      <c r="L65" t="s">
        <v>336</v>
      </c>
      <c r="M65" t="s">
        <v>86</v>
      </c>
      <c r="N65" t="s">
        <v>337</v>
      </c>
      <c r="O65" t="s">
        <v>87</v>
      </c>
      <c r="P65" t="s">
        <v>99</v>
      </c>
      <c r="Q65" t="s">
        <v>100</v>
      </c>
      <c r="R65">
        <v>2026</v>
      </c>
      <c r="S65">
        <v>2026</v>
      </c>
      <c r="T65" t="s">
        <v>101</v>
      </c>
      <c r="U65">
        <v>85</v>
      </c>
      <c r="V65">
        <v>133248</v>
      </c>
      <c r="W65">
        <v>139.63</v>
      </c>
      <c r="X65">
        <v>587.41999999999996</v>
      </c>
      <c r="Y65">
        <v>0</v>
      </c>
      <c r="Z65">
        <v>59.84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19987.2</v>
      </c>
      <c r="AG65">
        <v>2220000</v>
      </c>
      <c r="AH65">
        <v>1000000</v>
      </c>
      <c r="AI65">
        <v>200000</v>
      </c>
      <c r="AJ65">
        <v>1000000</v>
      </c>
      <c r="AK65">
        <v>10000</v>
      </c>
      <c r="AL65">
        <v>10000</v>
      </c>
      <c r="AM65" s="42">
        <v>46113</v>
      </c>
      <c r="AN65" s="42">
        <v>46447</v>
      </c>
      <c r="AO65">
        <v>0</v>
      </c>
      <c r="AP65">
        <v>0</v>
      </c>
      <c r="AQ65">
        <v>0</v>
      </c>
      <c r="AR65" s="8">
        <f t="shared" si="0"/>
        <v>2194.17</v>
      </c>
      <c r="AS65" s="38">
        <f t="shared" si="1"/>
        <v>1649.2698221999999</v>
      </c>
      <c r="AT65" s="39" t="s">
        <v>121</v>
      </c>
      <c r="AU65" s="40">
        <f>VLOOKUP(N65,'Apólice Endosso'!D:XFD,23,0)</f>
        <v>0</v>
      </c>
      <c r="AV65" s="39" t="str">
        <f>VLOOKUP(N65,'Apólice Endosso'!D:XFD,28,0)</f>
        <v>Padrão (100%) sem blindagem - 1M - Contrato 2025</v>
      </c>
      <c r="AW65" s="41" t="str">
        <f>IF(VLOOKUP(N65,'Apólice Endosso'!D:XFD,47,0)=0,"",VLOOKUP(N65,'Apólice Endosso'!D:XFD,47,0))</f>
        <v/>
      </c>
      <c r="AX65" s="40">
        <f>VLOOKUP(N65,'Apólice Endosso'!D:XFD,30,0)</f>
        <v>7049</v>
      </c>
      <c r="AY65" s="36">
        <v>1673.5924660000003</v>
      </c>
      <c r="AZ65" s="16">
        <v>7049</v>
      </c>
      <c r="BA65" s="16"/>
    </row>
    <row r="66" spans="1:53" x14ac:dyDescent="0.3">
      <c r="A66" t="s">
        <v>85</v>
      </c>
      <c r="B66" s="9">
        <v>46134</v>
      </c>
      <c r="C66">
        <v>0</v>
      </c>
      <c r="D66" t="s">
        <v>84</v>
      </c>
      <c r="E66">
        <v>2103</v>
      </c>
      <c r="F66">
        <v>2103</v>
      </c>
      <c r="G66"/>
      <c r="H66"/>
      <c r="J66" t="s">
        <v>97</v>
      </c>
      <c r="K66" t="s">
        <v>98</v>
      </c>
      <c r="L66" t="s">
        <v>338</v>
      </c>
      <c r="M66" t="s">
        <v>86</v>
      </c>
      <c r="N66" t="s">
        <v>339</v>
      </c>
      <c r="O66" t="s">
        <v>87</v>
      </c>
      <c r="P66" t="s">
        <v>99</v>
      </c>
      <c r="Q66" t="s">
        <v>100</v>
      </c>
      <c r="R66">
        <v>2026</v>
      </c>
      <c r="S66">
        <v>2026</v>
      </c>
      <c r="T66" t="s">
        <v>101</v>
      </c>
      <c r="U66">
        <v>85</v>
      </c>
      <c r="V66">
        <v>133248</v>
      </c>
      <c r="W66">
        <v>139.63</v>
      </c>
      <c r="X66">
        <v>587.41999999999996</v>
      </c>
      <c r="Y66">
        <v>0</v>
      </c>
      <c r="Z66">
        <v>59.84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19987.2</v>
      </c>
      <c r="AG66">
        <v>2220000</v>
      </c>
      <c r="AH66">
        <v>1000000</v>
      </c>
      <c r="AI66">
        <v>200000</v>
      </c>
      <c r="AJ66">
        <v>1000000</v>
      </c>
      <c r="AK66">
        <v>10000</v>
      </c>
      <c r="AL66">
        <v>10000</v>
      </c>
      <c r="AM66" s="42">
        <v>46113</v>
      </c>
      <c r="AN66" s="42">
        <v>46447</v>
      </c>
      <c r="AO66">
        <v>0</v>
      </c>
      <c r="AP66">
        <v>0</v>
      </c>
      <c r="AQ66">
        <v>0</v>
      </c>
      <c r="AR66" s="8">
        <f t="shared" si="0"/>
        <v>2194.17</v>
      </c>
      <c r="AS66" s="38">
        <f t="shared" si="1"/>
        <v>1649.2698221999999</v>
      </c>
      <c r="AT66" s="39" t="s">
        <v>121</v>
      </c>
      <c r="AU66" s="40">
        <f>VLOOKUP(N66,'Apólice Endosso'!D:XFD,23,0)</f>
        <v>0</v>
      </c>
      <c r="AV66" s="39" t="str">
        <f>VLOOKUP(N66,'Apólice Endosso'!D:XFD,28,0)</f>
        <v>Padrão (100%) sem blindagem - 1M - Contrato 2025</v>
      </c>
      <c r="AW66" s="41" t="str">
        <f>IF(VLOOKUP(N66,'Apólice Endosso'!D:XFD,47,0)=0,"",VLOOKUP(N66,'Apólice Endosso'!D:XFD,47,0))</f>
        <v/>
      </c>
      <c r="AX66" s="40">
        <f>VLOOKUP(N66,'Apólice Endosso'!D:XFD,30,0)</f>
        <v>7049</v>
      </c>
      <c r="AY66" s="36">
        <v>1673.5924660000003</v>
      </c>
      <c r="AZ66" s="16">
        <v>7049</v>
      </c>
      <c r="BA66" s="16"/>
    </row>
    <row r="67" spans="1:53" x14ac:dyDescent="0.3">
      <c r="A67" t="s">
        <v>85</v>
      </c>
      <c r="B67" s="9">
        <v>46134</v>
      </c>
      <c r="C67">
        <v>0</v>
      </c>
      <c r="D67" t="s">
        <v>84</v>
      </c>
      <c r="E67">
        <v>2103</v>
      </c>
      <c r="F67">
        <v>2103</v>
      </c>
      <c r="G67"/>
      <c r="H67"/>
      <c r="J67" t="s">
        <v>97</v>
      </c>
      <c r="K67" t="s">
        <v>98</v>
      </c>
      <c r="L67" t="s">
        <v>340</v>
      </c>
      <c r="M67" t="s">
        <v>86</v>
      </c>
      <c r="N67" t="s">
        <v>341</v>
      </c>
      <c r="O67" t="s">
        <v>87</v>
      </c>
      <c r="P67" t="s">
        <v>99</v>
      </c>
      <c r="Q67" t="s">
        <v>100</v>
      </c>
      <c r="R67">
        <v>2026</v>
      </c>
      <c r="S67">
        <v>2026</v>
      </c>
      <c r="T67" t="s">
        <v>101</v>
      </c>
      <c r="U67">
        <v>85</v>
      </c>
      <c r="V67">
        <v>133248</v>
      </c>
      <c r="W67">
        <v>139.63</v>
      </c>
      <c r="X67">
        <v>587.41999999999996</v>
      </c>
      <c r="Y67">
        <v>0</v>
      </c>
      <c r="Z67">
        <v>59.84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19987.2</v>
      </c>
      <c r="AG67">
        <v>2220000</v>
      </c>
      <c r="AH67">
        <v>1000000</v>
      </c>
      <c r="AI67">
        <v>200000</v>
      </c>
      <c r="AJ67">
        <v>1000000</v>
      </c>
      <c r="AK67">
        <v>10000</v>
      </c>
      <c r="AL67">
        <v>10000</v>
      </c>
      <c r="AM67" s="42">
        <v>46113</v>
      </c>
      <c r="AN67" s="42">
        <v>46447</v>
      </c>
      <c r="AO67">
        <v>0</v>
      </c>
      <c r="AP67">
        <v>0</v>
      </c>
      <c r="AQ67">
        <v>0</v>
      </c>
      <c r="AR67" s="8">
        <f t="shared" si="0"/>
        <v>2194.17</v>
      </c>
      <c r="AS67" s="38">
        <f t="shared" si="1"/>
        <v>1649.2698221999999</v>
      </c>
      <c r="AT67" s="39" t="s">
        <v>121</v>
      </c>
      <c r="AU67" s="40">
        <f>VLOOKUP(N67,'Apólice Endosso'!D:XFD,23,0)</f>
        <v>0</v>
      </c>
      <c r="AV67" s="39" t="str">
        <f>VLOOKUP(N67,'Apólice Endosso'!D:XFD,28,0)</f>
        <v>Padrão (100%) sem blindagem - 1M - Contrato 2025</v>
      </c>
      <c r="AW67" s="41" t="str">
        <f>IF(VLOOKUP(N67,'Apólice Endosso'!D:XFD,47,0)=0,"",VLOOKUP(N67,'Apólice Endosso'!D:XFD,47,0))</f>
        <v/>
      </c>
      <c r="AX67" s="40">
        <f>VLOOKUP(N67,'Apólice Endosso'!D:XFD,30,0)</f>
        <v>7049</v>
      </c>
      <c r="AY67" s="36">
        <v>1673.5924660000003</v>
      </c>
      <c r="AZ67" s="16">
        <v>7049</v>
      </c>
      <c r="BA67" s="16"/>
    </row>
    <row r="68" spans="1:53" x14ac:dyDescent="0.3">
      <c r="A68" t="s">
        <v>85</v>
      </c>
      <c r="B68" s="9">
        <v>46134</v>
      </c>
      <c r="C68">
        <v>0</v>
      </c>
      <c r="D68" t="s">
        <v>84</v>
      </c>
      <c r="E68">
        <v>2103</v>
      </c>
      <c r="F68">
        <v>2103</v>
      </c>
      <c r="G68"/>
      <c r="H68"/>
      <c r="J68" t="s">
        <v>97</v>
      </c>
      <c r="K68" t="s">
        <v>98</v>
      </c>
      <c r="L68" t="s">
        <v>342</v>
      </c>
      <c r="M68" t="s">
        <v>86</v>
      </c>
      <c r="N68" t="s">
        <v>343</v>
      </c>
      <c r="O68" t="s">
        <v>87</v>
      </c>
      <c r="P68" t="s">
        <v>99</v>
      </c>
      <c r="Q68" t="s">
        <v>100</v>
      </c>
      <c r="R68">
        <v>2026</v>
      </c>
      <c r="S68">
        <v>2026</v>
      </c>
      <c r="T68" t="s">
        <v>101</v>
      </c>
      <c r="U68">
        <v>85</v>
      </c>
      <c r="V68">
        <v>133248</v>
      </c>
      <c r="W68">
        <v>139.63</v>
      </c>
      <c r="X68">
        <v>587.41999999999996</v>
      </c>
      <c r="Y68">
        <v>0</v>
      </c>
      <c r="Z68">
        <v>59.84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19987.2</v>
      </c>
      <c r="AG68">
        <v>2220000</v>
      </c>
      <c r="AH68">
        <v>1000000</v>
      </c>
      <c r="AI68">
        <v>200000</v>
      </c>
      <c r="AJ68">
        <v>1000000</v>
      </c>
      <c r="AK68">
        <v>10000</v>
      </c>
      <c r="AL68">
        <v>10000</v>
      </c>
      <c r="AM68" s="42">
        <v>46113</v>
      </c>
      <c r="AN68" s="42">
        <v>46447</v>
      </c>
      <c r="AO68">
        <v>0</v>
      </c>
      <c r="AP68">
        <v>0</v>
      </c>
      <c r="AQ68">
        <v>0</v>
      </c>
      <c r="AR68" s="8">
        <f t="shared" ref="AR68:AR131" si="2">((W68+Z68)*11)</f>
        <v>2194.17</v>
      </c>
      <c r="AS68" s="38">
        <f t="shared" ref="AS68:AS131" si="3">(AR68*70%)+((AR68*70%)*7.38%)</f>
        <v>1649.2698221999999</v>
      </c>
      <c r="AT68" s="39" t="s">
        <v>121</v>
      </c>
      <c r="AU68" s="40">
        <f>VLOOKUP(N68,'Apólice Endosso'!D:XFD,23,0)</f>
        <v>0</v>
      </c>
      <c r="AV68" s="39" t="str">
        <f>VLOOKUP(N68,'Apólice Endosso'!D:XFD,28,0)</f>
        <v>Padrão (100%) sem blindagem - 1M - Contrato 2025</v>
      </c>
      <c r="AW68" s="41" t="str">
        <f>IF(VLOOKUP(N68,'Apólice Endosso'!D:XFD,47,0)=0,"",VLOOKUP(N68,'Apólice Endosso'!D:XFD,47,0))</f>
        <v/>
      </c>
      <c r="AX68" s="40">
        <f>VLOOKUP(N68,'Apólice Endosso'!D:XFD,30,0)</f>
        <v>7049</v>
      </c>
      <c r="AY68" s="36">
        <v>1673.5924660000003</v>
      </c>
      <c r="AZ68" s="16">
        <v>7049</v>
      </c>
      <c r="BA68" s="16"/>
    </row>
    <row r="69" spans="1:53" x14ac:dyDescent="0.3">
      <c r="A69" t="s">
        <v>85</v>
      </c>
      <c r="B69" s="9">
        <v>46134</v>
      </c>
      <c r="C69">
        <v>0</v>
      </c>
      <c r="D69" t="s">
        <v>84</v>
      </c>
      <c r="E69">
        <v>2103</v>
      </c>
      <c r="F69">
        <v>2103</v>
      </c>
      <c r="G69"/>
      <c r="H69"/>
      <c r="J69" t="s">
        <v>97</v>
      </c>
      <c r="K69" t="s">
        <v>98</v>
      </c>
      <c r="L69" t="s">
        <v>344</v>
      </c>
      <c r="M69" t="s">
        <v>86</v>
      </c>
      <c r="N69" t="s">
        <v>345</v>
      </c>
      <c r="O69" t="s">
        <v>87</v>
      </c>
      <c r="P69" t="s">
        <v>99</v>
      </c>
      <c r="Q69" t="s">
        <v>100</v>
      </c>
      <c r="R69">
        <v>2026</v>
      </c>
      <c r="S69">
        <v>2026</v>
      </c>
      <c r="T69" t="s">
        <v>101</v>
      </c>
      <c r="U69">
        <v>85</v>
      </c>
      <c r="V69">
        <v>133248</v>
      </c>
      <c r="W69">
        <v>139.63</v>
      </c>
      <c r="X69">
        <v>587.41999999999996</v>
      </c>
      <c r="Y69">
        <v>0</v>
      </c>
      <c r="Z69">
        <v>59.84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19987.2</v>
      </c>
      <c r="AG69">
        <v>2220000</v>
      </c>
      <c r="AH69">
        <v>1000000</v>
      </c>
      <c r="AI69">
        <v>200000</v>
      </c>
      <c r="AJ69">
        <v>1000000</v>
      </c>
      <c r="AK69">
        <v>10000</v>
      </c>
      <c r="AL69">
        <v>10000</v>
      </c>
      <c r="AM69" s="42">
        <v>46113</v>
      </c>
      <c r="AN69" s="42">
        <v>46447</v>
      </c>
      <c r="AO69">
        <v>0</v>
      </c>
      <c r="AP69">
        <v>0</v>
      </c>
      <c r="AQ69">
        <v>0</v>
      </c>
      <c r="AR69" s="8">
        <f t="shared" si="2"/>
        <v>2194.17</v>
      </c>
      <c r="AS69" s="38">
        <f t="shared" si="3"/>
        <v>1649.2698221999999</v>
      </c>
      <c r="AT69" s="39" t="s">
        <v>121</v>
      </c>
      <c r="AU69" s="40">
        <f>VLOOKUP(N69,'Apólice Endosso'!D:XFD,23,0)</f>
        <v>0</v>
      </c>
      <c r="AV69" s="39" t="str">
        <f>VLOOKUP(N69,'Apólice Endosso'!D:XFD,28,0)</f>
        <v>Padrão (100%) sem blindagem - 1M - Contrato 2025</v>
      </c>
      <c r="AW69" s="41" t="str">
        <f>IF(VLOOKUP(N69,'Apólice Endosso'!D:XFD,47,0)=0,"",VLOOKUP(N69,'Apólice Endosso'!D:XFD,47,0))</f>
        <v/>
      </c>
      <c r="AX69" s="40">
        <f>VLOOKUP(N69,'Apólice Endosso'!D:XFD,30,0)</f>
        <v>7049</v>
      </c>
      <c r="AY69" s="36">
        <v>1673.5924660000003</v>
      </c>
      <c r="AZ69" s="16">
        <v>7049</v>
      </c>
      <c r="BA69" s="16"/>
    </row>
    <row r="70" spans="1:53" x14ac:dyDescent="0.3">
      <c r="A70" t="s">
        <v>85</v>
      </c>
      <c r="B70" s="9">
        <v>46134</v>
      </c>
      <c r="C70">
        <v>0</v>
      </c>
      <c r="D70" t="s">
        <v>84</v>
      </c>
      <c r="E70">
        <v>2103</v>
      </c>
      <c r="F70">
        <v>2103</v>
      </c>
      <c r="G70"/>
      <c r="H70"/>
      <c r="J70" t="s">
        <v>97</v>
      </c>
      <c r="K70" t="s">
        <v>98</v>
      </c>
      <c r="L70" t="s">
        <v>346</v>
      </c>
      <c r="M70" t="s">
        <v>86</v>
      </c>
      <c r="N70" t="s">
        <v>347</v>
      </c>
      <c r="O70" t="s">
        <v>87</v>
      </c>
      <c r="P70" t="s">
        <v>99</v>
      </c>
      <c r="Q70" t="s">
        <v>100</v>
      </c>
      <c r="R70">
        <v>2026</v>
      </c>
      <c r="S70">
        <v>2026</v>
      </c>
      <c r="T70" t="s">
        <v>101</v>
      </c>
      <c r="U70">
        <v>85</v>
      </c>
      <c r="V70">
        <v>133248</v>
      </c>
      <c r="W70">
        <v>139.63</v>
      </c>
      <c r="X70">
        <v>587.41999999999996</v>
      </c>
      <c r="Y70">
        <v>0</v>
      </c>
      <c r="Z70">
        <v>59.84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19987.2</v>
      </c>
      <c r="AG70">
        <v>2220000</v>
      </c>
      <c r="AH70">
        <v>1000000</v>
      </c>
      <c r="AI70">
        <v>200000</v>
      </c>
      <c r="AJ70">
        <v>1000000</v>
      </c>
      <c r="AK70">
        <v>10000</v>
      </c>
      <c r="AL70">
        <v>10000</v>
      </c>
      <c r="AM70" s="42">
        <v>46113</v>
      </c>
      <c r="AN70" s="42">
        <v>46447</v>
      </c>
      <c r="AO70">
        <v>0</v>
      </c>
      <c r="AP70">
        <v>0</v>
      </c>
      <c r="AQ70">
        <v>0</v>
      </c>
      <c r="AR70" s="8">
        <f t="shared" si="2"/>
        <v>2194.17</v>
      </c>
      <c r="AS70" s="38">
        <f t="shared" si="3"/>
        <v>1649.2698221999999</v>
      </c>
      <c r="AT70" s="39" t="s">
        <v>121</v>
      </c>
      <c r="AU70" s="40">
        <f>VLOOKUP(N70,'Apólice Endosso'!D:XFD,23,0)</f>
        <v>0</v>
      </c>
      <c r="AV70" s="39" t="str">
        <f>VLOOKUP(N70,'Apólice Endosso'!D:XFD,28,0)</f>
        <v>Padrão (100%) sem blindagem - 1M - Contrato 2025</v>
      </c>
      <c r="AW70" s="41" t="str">
        <f>IF(VLOOKUP(N70,'Apólice Endosso'!D:XFD,47,0)=0,"",VLOOKUP(N70,'Apólice Endosso'!D:XFD,47,0))</f>
        <v/>
      </c>
      <c r="AX70" s="40">
        <f>VLOOKUP(N70,'Apólice Endosso'!D:XFD,30,0)</f>
        <v>7049</v>
      </c>
      <c r="AY70" s="36">
        <v>1673.5924660000003</v>
      </c>
      <c r="AZ70" s="16">
        <v>7049</v>
      </c>
      <c r="BA70" s="16"/>
    </row>
    <row r="71" spans="1:53" x14ac:dyDescent="0.3">
      <c r="A71" t="s">
        <v>85</v>
      </c>
      <c r="B71" s="9">
        <v>46134</v>
      </c>
      <c r="C71">
        <v>0</v>
      </c>
      <c r="D71" t="s">
        <v>84</v>
      </c>
      <c r="E71">
        <v>2103</v>
      </c>
      <c r="F71">
        <v>2103</v>
      </c>
      <c r="G71"/>
      <c r="H71"/>
      <c r="J71" t="s">
        <v>97</v>
      </c>
      <c r="K71" t="s">
        <v>98</v>
      </c>
      <c r="L71" t="s">
        <v>348</v>
      </c>
      <c r="M71" t="s">
        <v>86</v>
      </c>
      <c r="N71" t="s">
        <v>349</v>
      </c>
      <c r="O71" t="s">
        <v>87</v>
      </c>
      <c r="P71" t="s">
        <v>99</v>
      </c>
      <c r="Q71" t="s">
        <v>100</v>
      </c>
      <c r="R71">
        <v>2026</v>
      </c>
      <c r="S71">
        <v>2026</v>
      </c>
      <c r="T71" t="s">
        <v>101</v>
      </c>
      <c r="U71">
        <v>85</v>
      </c>
      <c r="V71">
        <v>133248</v>
      </c>
      <c r="W71">
        <v>139.63</v>
      </c>
      <c r="X71">
        <v>587.41999999999996</v>
      </c>
      <c r="Y71">
        <v>0</v>
      </c>
      <c r="Z71">
        <v>59.84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19987.2</v>
      </c>
      <c r="AG71">
        <v>2220000</v>
      </c>
      <c r="AH71">
        <v>1000000</v>
      </c>
      <c r="AI71">
        <v>200000</v>
      </c>
      <c r="AJ71">
        <v>1000000</v>
      </c>
      <c r="AK71">
        <v>10000</v>
      </c>
      <c r="AL71">
        <v>10000</v>
      </c>
      <c r="AM71" s="42">
        <v>46113</v>
      </c>
      <c r="AN71" s="42">
        <v>46447</v>
      </c>
      <c r="AO71">
        <v>0</v>
      </c>
      <c r="AP71">
        <v>0</v>
      </c>
      <c r="AQ71">
        <v>0</v>
      </c>
      <c r="AR71" s="8">
        <f t="shared" si="2"/>
        <v>2194.17</v>
      </c>
      <c r="AS71" s="38">
        <f t="shared" si="3"/>
        <v>1649.2698221999999</v>
      </c>
      <c r="AT71" s="39" t="s">
        <v>121</v>
      </c>
      <c r="AU71" s="40">
        <f>VLOOKUP(N71,'Apólice Endosso'!D:XFD,23,0)</f>
        <v>0</v>
      </c>
      <c r="AV71" s="39" t="str">
        <f>VLOOKUP(N71,'Apólice Endosso'!D:XFD,28,0)</f>
        <v>Padrão (100%) sem blindagem - 1M - Contrato 2025</v>
      </c>
      <c r="AW71" s="41" t="str">
        <f>IF(VLOOKUP(N71,'Apólice Endosso'!D:XFD,47,0)=0,"",VLOOKUP(N71,'Apólice Endosso'!D:XFD,47,0))</f>
        <v/>
      </c>
      <c r="AX71" s="40">
        <f>VLOOKUP(N71,'Apólice Endosso'!D:XFD,30,0)</f>
        <v>7049</v>
      </c>
      <c r="AY71" s="36">
        <v>1673.5924660000003</v>
      </c>
      <c r="AZ71" s="16">
        <v>7049</v>
      </c>
      <c r="BA71" s="16"/>
    </row>
    <row r="72" spans="1:53" x14ac:dyDescent="0.3">
      <c r="A72" t="s">
        <v>85</v>
      </c>
      <c r="B72" s="9">
        <v>46134</v>
      </c>
      <c r="C72">
        <v>0</v>
      </c>
      <c r="D72" t="s">
        <v>84</v>
      </c>
      <c r="E72">
        <v>2103</v>
      </c>
      <c r="F72">
        <v>2103</v>
      </c>
      <c r="G72"/>
      <c r="H72"/>
      <c r="J72" t="s">
        <v>97</v>
      </c>
      <c r="K72" t="s">
        <v>98</v>
      </c>
      <c r="L72" t="s">
        <v>350</v>
      </c>
      <c r="M72" t="s">
        <v>86</v>
      </c>
      <c r="N72" t="s">
        <v>351</v>
      </c>
      <c r="O72" t="s">
        <v>87</v>
      </c>
      <c r="P72" t="s">
        <v>99</v>
      </c>
      <c r="Q72" t="s">
        <v>100</v>
      </c>
      <c r="R72">
        <v>2026</v>
      </c>
      <c r="S72">
        <v>2026</v>
      </c>
      <c r="T72" t="s">
        <v>101</v>
      </c>
      <c r="U72">
        <v>85</v>
      </c>
      <c r="V72">
        <v>133248</v>
      </c>
      <c r="W72">
        <v>139.63</v>
      </c>
      <c r="X72">
        <v>587.41999999999996</v>
      </c>
      <c r="Y72">
        <v>0</v>
      </c>
      <c r="Z72">
        <v>59.84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19987.2</v>
      </c>
      <c r="AG72">
        <v>2220000</v>
      </c>
      <c r="AH72">
        <v>1000000</v>
      </c>
      <c r="AI72">
        <v>200000</v>
      </c>
      <c r="AJ72">
        <v>1000000</v>
      </c>
      <c r="AK72">
        <v>10000</v>
      </c>
      <c r="AL72">
        <v>10000</v>
      </c>
      <c r="AM72" s="42">
        <v>46113</v>
      </c>
      <c r="AN72" s="42">
        <v>46447</v>
      </c>
      <c r="AO72">
        <v>0</v>
      </c>
      <c r="AP72">
        <v>0</v>
      </c>
      <c r="AQ72">
        <v>0</v>
      </c>
      <c r="AR72" s="8">
        <f t="shared" si="2"/>
        <v>2194.17</v>
      </c>
      <c r="AS72" s="38">
        <f t="shared" si="3"/>
        <v>1649.2698221999999</v>
      </c>
      <c r="AT72" s="39" t="s">
        <v>121</v>
      </c>
      <c r="AU72" s="40">
        <f>VLOOKUP(N72,'Apólice Endosso'!D:XFD,23,0)</f>
        <v>0</v>
      </c>
      <c r="AV72" s="39" t="str">
        <f>VLOOKUP(N72,'Apólice Endosso'!D:XFD,28,0)</f>
        <v>Padrão (100%) sem blindagem - 1M - Contrato 2025</v>
      </c>
      <c r="AW72" s="41" t="str">
        <f>IF(VLOOKUP(N72,'Apólice Endosso'!D:XFD,47,0)=0,"",VLOOKUP(N72,'Apólice Endosso'!D:XFD,47,0))</f>
        <v/>
      </c>
      <c r="AX72" s="40">
        <f>VLOOKUP(N72,'Apólice Endosso'!D:XFD,30,0)</f>
        <v>7049</v>
      </c>
      <c r="AY72" s="36">
        <v>1673.5924660000003</v>
      </c>
      <c r="AZ72" s="16">
        <v>7049</v>
      </c>
      <c r="BA72" s="16"/>
    </row>
    <row r="73" spans="1:53" x14ac:dyDescent="0.3">
      <c r="A73" t="s">
        <v>85</v>
      </c>
      <c r="B73" s="9">
        <v>46134</v>
      </c>
      <c r="C73">
        <v>0</v>
      </c>
      <c r="D73" t="s">
        <v>84</v>
      </c>
      <c r="E73">
        <v>2103</v>
      </c>
      <c r="F73">
        <v>2103</v>
      </c>
      <c r="G73"/>
      <c r="H73"/>
      <c r="J73" t="s">
        <v>97</v>
      </c>
      <c r="K73" t="s">
        <v>98</v>
      </c>
      <c r="L73" t="s">
        <v>352</v>
      </c>
      <c r="M73" t="s">
        <v>86</v>
      </c>
      <c r="N73" t="s">
        <v>353</v>
      </c>
      <c r="O73" t="s">
        <v>87</v>
      </c>
      <c r="P73" t="s">
        <v>99</v>
      </c>
      <c r="Q73" t="s">
        <v>100</v>
      </c>
      <c r="R73">
        <v>2026</v>
      </c>
      <c r="S73">
        <v>2026</v>
      </c>
      <c r="T73" t="s">
        <v>101</v>
      </c>
      <c r="U73">
        <v>85</v>
      </c>
      <c r="V73">
        <v>133248</v>
      </c>
      <c r="W73">
        <v>139.63</v>
      </c>
      <c r="X73">
        <v>587.41999999999996</v>
      </c>
      <c r="Y73">
        <v>0</v>
      </c>
      <c r="Z73">
        <v>59.84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19987.2</v>
      </c>
      <c r="AG73">
        <v>2220000</v>
      </c>
      <c r="AH73">
        <v>1000000</v>
      </c>
      <c r="AI73">
        <v>200000</v>
      </c>
      <c r="AJ73">
        <v>1000000</v>
      </c>
      <c r="AK73">
        <v>10000</v>
      </c>
      <c r="AL73">
        <v>10000</v>
      </c>
      <c r="AM73" s="42">
        <v>46113</v>
      </c>
      <c r="AN73" s="42">
        <v>46447</v>
      </c>
      <c r="AO73">
        <v>0</v>
      </c>
      <c r="AP73">
        <v>0</v>
      </c>
      <c r="AQ73">
        <v>0</v>
      </c>
      <c r="AR73" s="8">
        <f t="shared" si="2"/>
        <v>2194.17</v>
      </c>
      <c r="AS73" s="38">
        <f t="shared" si="3"/>
        <v>1649.2698221999999</v>
      </c>
      <c r="AT73" s="39" t="s">
        <v>121</v>
      </c>
      <c r="AU73" s="40">
        <f>VLOOKUP(N73,'Apólice Endosso'!D:XFD,23,0)</f>
        <v>0</v>
      </c>
      <c r="AV73" s="39" t="str">
        <f>VLOOKUP(N73,'Apólice Endosso'!D:XFD,28,0)</f>
        <v>Padrão (100%) sem blindagem - 1M - Contrato 2025</v>
      </c>
      <c r="AW73" s="41" t="str">
        <f>IF(VLOOKUP(N73,'Apólice Endosso'!D:XFD,47,0)=0,"",VLOOKUP(N73,'Apólice Endosso'!D:XFD,47,0))</f>
        <v/>
      </c>
      <c r="AX73" s="40">
        <f>VLOOKUP(N73,'Apólice Endosso'!D:XFD,30,0)</f>
        <v>7049</v>
      </c>
      <c r="AY73" s="36">
        <v>1673.5924660000003</v>
      </c>
      <c r="AZ73" s="16">
        <v>7049</v>
      </c>
      <c r="BA73" s="16"/>
    </row>
    <row r="74" spans="1:53" x14ac:dyDescent="0.3">
      <c r="A74" t="s">
        <v>85</v>
      </c>
      <c r="B74" s="9">
        <v>46134</v>
      </c>
      <c r="C74">
        <v>0</v>
      </c>
      <c r="D74" t="s">
        <v>84</v>
      </c>
      <c r="E74">
        <v>2103</v>
      </c>
      <c r="F74">
        <v>2103</v>
      </c>
      <c r="G74"/>
      <c r="H74"/>
      <c r="J74" t="s">
        <v>97</v>
      </c>
      <c r="K74" t="s">
        <v>98</v>
      </c>
      <c r="L74" t="s">
        <v>354</v>
      </c>
      <c r="M74" t="s">
        <v>86</v>
      </c>
      <c r="N74" t="s">
        <v>355</v>
      </c>
      <c r="O74" t="s">
        <v>87</v>
      </c>
      <c r="P74" t="s">
        <v>99</v>
      </c>
      <c r="Q74" t="s">
        <v>100</v>
      </c>
      <c r="R74">
        <v>2026</v>
      </c>
      <c r="S74">
        <v>2026</v>
      </c>
      <c r="T74" t="s">
        <v>101</v>
      </c>
      <c r="U74">
        <v>85</v>
      </c>
      <c r="V74">
        <v>133248</v>
      </c>
      <c r="W74">
        <v>139.63</v>
      </c>
      <c r="X74">
        <v>587.41999999999996</v>
      </c>
      <c r="Y74">
        <v>0</v>
      </c>
      <c r="Z74">
        <v>59.84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19987.2</v>
      </c>
      <c r="AG74">
        <v>2220000</v>
      </c>
      <c r="AH74">
        <v>1000000</v>
      </c>
      <c r="AI74">
        <v>200000</v>
      </c>
      <c r="AJ74">
        <v>1000000</v>
      </c>
      <c r="AK74">
        <v>10000</v>
      </c>
      <c r="AL74">
        <v>10000</v>
      </c>
      <c r="AM74" s="42">
        <v>46113</v>
      </c>
      <c r="AN74" s="42">
        <v>46447</v>
      </c>
      <c r="AO74">
        <v>0</v>
      </c>
      <c r="AP74">
        <v>0</v>
      </c>
      <c r="AQ74">
        <v>0</v>
      </c>
      <c r="AR74" s="8">
        <f t="shared" si="2"/>
        <v>2194.17</v>
      </c>
      <c r="AS74" s="38">
        <f t="shared" si="3"/>
        <v>1649.2698221999999</v>
      </c>
      <c r="AT74" s="39" t="s">
        <v>121</v>
      </c>
      <c r="AU74" s="40">
        <f>VLOOKUP(N74,'Apólice Endosso'!D:XFD,23,0)</f>
        <v>0</v>
      </c>
      <c r="AV74" s="39" t="str">
        <f>VLOOKUP(N74,'Apólice Endosso'!D:XFD,28,0)</f>
        <v>Padrão (100%) sem blindagem - 1M - Contrato 2025</v>
      </c>
      <c r="AW74" s="41" t="str">
        <f>IF(VLOOKUP(N74,'Apólice Endosso'!D:XFD,47,0)=0,"",VLOOKUP(N74,'Apólice Endosso'!D:XFD,47,0))</f>
        <v/>
      </c>
      <c r="AX74" s="40">
        <f>VLOOKUP(N74,'Apólice Endosso'!D:XFD,30,0)</f>
        <v>7049</v>
      </c>
      <c r="AY74" s="36">
        <v>1673.5924660000003</v>
      </c>
      <c r="AZ74" s="16">
        <v>7049</v>
      </c>
      <c r="BA74" s="16"/>
    </row>
    <row r="75" spans="1:53" x14ac:dyDescent="0.3">
      <c r="A75" t="s">
        <v>85</v>
      </c>
      <c r="B75" s="9">
        <v>46134</v>
      </c>
      <c r="C75">
        <v>0</v>
      </c>
      <c r="D75" t="s">
        <v>84</v>
      </c>
      <c r="E75">
        <v>2103</v>
      </c>
      <c r="F75">
        <v>2103</v>
      </c>
      <c r="G75"/>
      <c r="H75"/>
      <c r="J75" t="s">
        <v>97</v>
      </c>
      <c r="K75" t="s">
        <v>98</v>
      </c>
      <c r="L75" t="s">
        <v>356</v>
      </c>
      <c r="M75" t="s">
        <v>86</v>
      </c>
      <c r="N75" t="s">
        <v>357</v>
      </c>
      <c r="O75" t="s">
        <v>87</v>
      </c>
      <c r="P75" t="s">
        <v>99</v>
      </c>
      <c r="Q75" t="s">
        <v>100</v>
      </c>
      <c r="R75">
        <v>2026</v>
      </c>
      <c r="S75">
        <v>2026</v>
      </c>
      <c r="T75" t="s">
        <v>101</v>
      </c>
      <c r="U75">
        <v>85</v>
      </c>
      <c r="V75">
        <v>133248</v>
      </c>
      <c r="W75">
        <v>139.63</v>
      </c>
      <c r="X75">
        <v>587.41999999999996</v>
      </c>
      <c r="Y75">
        <v>0</v>
      </c>
      <c r="Z75">
        <v>59.84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19987.2</v>
      </c>
      <c r="AG75">
        <v>2220000</v>
      </c>
      <c r="AH75">
        <v>1000000</v>
      </c>
      <c r="AI75">
        <v>200000</v>
      </c>
      <c r="AJ75">
        <v>1000000</v>
      </c>
      <c r="AK75">
        <v>10000</v>
      </c>
      <c r="AL75">
        <v>10000</v>
      </c>
      <c r="AM75" s="42">
        <v>46113</v>
      </c>
      <c r="AN75" s="42">
        <v>46447</v>
      </c>
      <c r="AO75">
        <v>0</v>
      </c>
      <c r="AP75">
        <v>0</v>
      </c>
      <c r="AQ75">
        <v>0</v>
      </c>
      <c r="AR75" s="8">
        <f t="shared" si="2"/>
        <v>2194.17</v>
      </c>
      <c r="AS75" s="38">
        <f t="shared" si="3"/>
        <v>1649.2698221999999</v>
      </c>
      <c r="AT75" s="39" t="s">
        <v>121</v>
      </c>
      <c r="AU75" s="40">
        <f>VLOOKUP(N75,'Apólice Endosso'!D:XFD,23,0)</f>
        <v>0</v>
      </c>
      <c r="AV75" s="39" t="str">
        <f>VLOOKUP(N75,'Apólice Endosso'!D:XFD,28,0)</f>
        <v>Padrão (100%) sem blindagem - 1M - Contrato 2025</v>
      </c>
      <c r="AW75" s="41" t="str">
        <f>IF(VLOOKUP(N75,'Apólice Endosso'!D:XFD,47,0)=0,"",VLOOKUP(N75,'Apólice Endosso'!D:XFD,47,0))</f>
        <v/>
      </c>
      <c r="AX75" s="40">
        <f>VLOOKUP(N75,'Apólice Endosso'!D:XFD,30,0)</f>
        <v>7049</v>
      </c>
      <c r="AY75" s="36">
        <v>1673.5924660000003</v>
      </c>
      <c r="AZ75" s="16">
        <v>7049</v>
      </c>
      <c r="BA75" s="16"/>
    </row>
    <row r="76" spans="1:53" x14ac:dyDescent="0.3">
      <c r="A76" t="s">
        <v>85</v>
      </c>
      <c r="B76" s="9">
        <v>46134</v>
      </c>
      <c r="C76">
        <v>0</v>
      </c>
      <c r="D76" t="s">
        <v>84</v>
      </c>
      <c r="E76">
        <v>2103</v>
      </c>
      <c r="F76">
        <v>2103</v>
      </c>
      <c r="G76"/>
      <c r="H76"/>
      <c r="J76" t="s">
        <v>97</v>
      </c>
      <c r="K76" t="s">
        <v>98</v>
      </c>
      <c r="L76" t="s">
        <v>358</v>
      </c>
      <c r="M76" t="s">
        <v>86</v>
      </c>
      <c r="N76" t="s">
        <v>359</v>
      </c>
      <c r="O76" t="s">
        <v>87</v>
      </c>
      <c r="P76" t="s">
        <v>99</v>
      </c>
      <c r="Q76" t="s">
        <v>100</v>
      </c>
      <c r="R76">
        <v>2026</v>
      </c>
      <c r="S76">
        <v>2026</v>
      </c>
      <c r="T76" t="s">
        <v>101</v>
      </c>
      <c r="U76">
        <v>85</v>
      </c>
      <c r="V76">
        <v>133248</v>
      </c>
      <c r="W76">
        <v>139.63</v>
      </c>
      <c r="X76">
        <v>587.41999999999996</v>
      </c>
      <c r="Y76">
        <v>0</v>
      </c>
      <c r="Z76">
        <v>59.84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19987.2</v>
      </c>
      <c r="AG76">
        <v>2220000</v>
      </c>
      <c r="AH76">
        <v>1000000</v>
      </c>
      <c r="AI76">
        <v>200000</v>
      </c>
      <c r="AJ76">
        <v>1000000</v>
      </c>
      <c r="AK76">
        <v>10000</v>
      </c>
      <c r="AL76">
        <v>10000</v>
      </c>
      <c r="AM76" s="42">
        <v>46113</v>
      </c>
      <c r="AN76" s="42">
        <v>46447</v>
      </c>
      <c r="AO76">
        <v>0</v>
      </c>
      <c r="AP76">
        <v>0</v>
      </c>
      <c r="AQ76">
        <v>0</v>
      </c>
      <c r="AR76" s="8">
        <f t="shared" si="2"/>
        <v>2194.17</v>
      </c>
      <c r="AS76" s="38">
        <f t="shared" si="3"/>
        <v>1649.2698221999999</v>
      </c>
      <c r="AT76" s="39" t="s">
        <v>121</v>
      </c>
      <c r="AU76" s="40">
        <f>VLOOKUP(N76,'Apólice Endosso'!D:XFD,23,0)</f>
        <v>0</v>
      </c>
      <c r="AV76" s="39" t="str">
        <f>VLOOKUP(N76,'Apólice Endosso'!D:XFD,28,0)</f>
        <v>Padrão (100%) sem blindagem - 1M - Contrato 2025</v>
      </c>
      <c r="AW76" s="41" t="str">
        <f>IF(VLOOKUP(N76,'Apólice Endosso'!D:XFD,47,0)=0,"",VLOOKUP(N76,'Apólice Endosso'!D:XFD,47,0))</f>
        <v/>
      </c>
      <c r="AX76" s="40">
        <f>VLOOKUP(N76,'Apólice Endosso'!D:XFD,30,0)</f>
        <v>7049</v>
      </c>
      <c r="AY76" s="36">
        <v>1673.5924660000003</v>
      </c>
      <c r="AZ76" s="16">
        <v>7049</v>
      </c>
      <c r="BA76" s="16"/>
    </row>
    <row r="77" spans="1:53" x14ac:dyDescent="0.3">
      <c r="A77" t="s">
        <v>85</v>
      </c>
      <c r="B77" s="9">
        <v>46134</v>
      </c>
      <c r="C77">
        <v>0</v>
      </c>
      <c r="D77" t="s">
        <v>84</v>
      </c>
      <c r="E77">
        <v>2103</v>
      </c>
      <c r="F77">
        <v>2103</v>
      </c>
      <c r="G77"/>
      <c r="H77"/>
      <c r="J77" t="s">
        <v>97</v>
      </c>
      <c r="K77" t="s">
        <v>98</v>
      </c>
      <c r="L77" t="s">
        <v>360</v>
      </c>
      <c r="M77" t="s">
        <v>86</v>
      </c>
      <c r="N77" t="s">
        <v>361</v>
      </c>
      <c r="O77" t="s">
        <v>87</v>
      </c>
      <c r="P77" t="s">
        <v>102</v>
      </c>
      <c r="Q77" t="s">
        <v>103</v>
      </c>
      <c r="R77">
        <v>2025</v>
      </c>
      <c r="S77">
        <v>2026</v>
      </c>
      <c r="T77" t="s">
        <v>101</v>
      </c>
      <c r="U77">
        <v>85</v>
      </c>
      <c r="V77">
        <v>133248</v>
      </c>
      <c r="W77">
        <v>139.63</v>
      </c>
      <c r="X77">
        <v>587.41999999999996</v>
      </c>
      <c r="Y77">
        <v>0</v>
      </c>
      <c r="Z77">
        <v>59.84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19987.2</v>
      </c>
      <c r="AG77">
        <v>2220000</v>
      </c>
      <c r="AH77">
        <v>1000000</v>
      </c>
      <c r="AI77">
        <v>200000</v>
      </c>
      <c r="AJ77">
        <v>1000000</v>
      </c>
      <c r="AK77">
        <v>10000</v>
      </c>
      <c r="AL77">
        <v>10000</v>
      </c>
      <c r="AM77" s="42">
        <v>46113</v>
      </c>
      <c r="AN77" s="42">
        <v>46447</v>
      </c>
      <c r="AO77">
        <v>0</v>
      </c>
      <c r="AP77">
        <v>0</v>
      </c>
      <c r="AQ77">
        <v>0</v>
      </c>
      <c r="AR77" s="8">
        <f t="shared" si="2"/>
        <v>2194.17</v>
      </c>
      <c r="AS77" s="38">
        <f t="shared" si="3"/>
        <v>1649.2698221999999</v>
      </c>
      <c r="AT77" s="39" t="s">
        <v>121</v>
      </c>
      <c r="AU77" s="40">
        <f>VLOOKUP(N77,'Apólice Endosso'!D:XFD,23,0)</f>
        <v>0</v>
      </c>
      <c r="AV77" s="39" t="str">
        <f>VLOOKUP(N77,'Apólice Endosso'!D:XFD,28,0)</f>
        <v>Padrão (100%) sem blindagem - 1M - Contrato 2025</v>
      </c>
      <c r="AW77" s="41" t="str">
        <f>IF(VLOOKUP(N77,'Apólice Endosso'!D:XFD,47,0)=0,"",VLOOKUP(N77,'Apólice Endosso'!D:XFD,47,0))</f>
        <v/>
      </c>
      <c r="AX77" s="40">
        <f>VLOOKUP(N77,'Apólice Endosso'!D:XFD,30,0)</f>
        <v>7049</v>
      </c>
      <c r="AY77" s="36">
        <v>1673.5924660000003</v>
      </c>
      <c r="AZ77" s="16">
        <v>7049</v>
      </c>
      <c r="BA77" s="16"/>
    </row>
    <row r="78" spans="1:53" x14ac:dyDescent="0.3">
      <c r="A78" t="s">
        <v>85</v>
      </c>
      <c r="B78" s="9">
        <v>46134</v>
      </c>
      <c r="C78">
        <v>0</v>
      </c>
      <c r="D78" t="s">
        <v>84</v>
      </c>
      <c r="E78">
        <v>2103</v>
      </c>
      <c r="F78">
        <v>2103</v>
      </c>
      <c r="G78"/>
      <c r="H78"/>
      <c r="J78" t="s">
        <v>97</v>
      </c>
      <c r="K78" t="s">
        <v>98</v>
      </c>
      <c r="L78" t="s">
        <v>362</v>
      </c>
      <c r="M78" t="s">
        <v>86</v>
      </c>
      <c r="N78" t="s">
        <v>363</v>
      </c>
      <c r="O78" t="s">
        <v>87</v>
      </c>
      <c r="P78" t="s">
        <v>102</v>
      </c>
      <c r="Q78" t="s">
        <v>103</v>
      </c>
      <c r="R78">
        <v>2025</v>
      </c>
      <c r="S78">
        <v>2026</v>
      </c>
      <c r="T78" t="s">
        <v>101</v>
      </c>
      <c r="U78">
        <v>85</v>
      </c>
      <c r="V78">
        <v>133248</v>
      </c>
      <c r="W78">
        <v>139.63</v>
      </c>
      <c r="X78">
        <v>587.41999999999996</v>
      </c>
      <c r="Y78">
        <v>0</v>
      </c>
      <c r="Z78">
        <v>59.84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19987.2</v>
      </c>
      <c r="AG78">
        <v>2220000</v>
      </c>
      <c r="AH78">
        <v>1000000</v>
      </c>
      <c r="AI78">
        <v>200000</v>
      </c>
      <c r="AJ78">
        <v>1000000</v>
      </c>
      <c r="AK78">
        <v>10000</v>
      </c>
      <c r="AL78">
        <v>10000</v>
      </c>
      <c r="AM78" s="42">
        <v>46113</v>
      </c>
      <c r="AN78" s="42">
        <v>46447</v>
      </c>
      <c r="AO78">
        <v>0</v>
      </c>
      <c r="AP78">
        <v>0</v>
      </c>
      <c r="AQ78">
        <v>0</v>
      </c>
      <c r="AR78" s="8">
        <f t="shared" si="2"/>
        <v>2194.17</v>
      </c>
      <c r="AS78" s="38">
        <f t="shared" si="3"/>
        <v>1649.2698221999999</v>
      </c>
      <c r="AT78" s="39" t="s">
        <v>121</v>
      </c>
      <c r="AU78" s="40">
        <f>VLOOKUP(N78,'Apólice Endosso'!D:XFD,23,0)</f>
        <v>0</v>
      </c>
      <c r="AV78" s="39" t="str">
        <f>VLOOKUP(N78,'Apólice Endosso'!D:XFD,28,0)</f>
        <v>Padrão (100%) sem blindagem - 1M - Contrato 2025</v>
      </c>
      <c r="AW78" s="41" t="str">
        <f>IF(VLOOKUP(N78,'Apólice Endosso'!D:XFD,47,0)=0,"",VLOOKUP(N78,'Apólice Endosso'!D:XFD,47,0))</f>
        <v/>
      </c>
      <c r="AX78" s="40">
        <f>VLOOKUP(N78,'Apólice Endosso'!D:XFD,30,0)</f>
        <v>7049</v>
      </c>
      <c r="AY78" s="36">
        <v>1673.5924660000003</v>
      </c>
      <c r="AZ78" s="16">
        <v>7049</v>
      </c>
      <c r="BA78" s="16"/>
    </row>
    <row r="79" spans="1:53" x14ac:dyDescent="0.3">
      <c r="A79" t="s">
        <v>85</v>
      </c>
      <c r="B79" s="9">
        <v>46134</v>
      </c>
      <c r="C79">
        <v>0</v>
      </c>
      <c r="D79" t="s">
        <v>84</v>
      </c>
      <c r="E79">
        <v>2103</v>
      </c>
      <c r="F79">
        <v>2103</v>
      </c>
      <c r="G79"/>
      <c r="H79"/>
      <c r="J79" t="s">
        <v>97</v>
      </c>
      <c r="K79" t="s">
        <v>98</v>
      </c>
      <c r="L79" t="s">
        <v>364</v>
      </c>
      <c r="M79" t="s">
        <v>86</v>
      </c>
      <c r="N79" t="s">
        <v>365</v>
      </c>
      <c r="O79" t="s">
        <v>87</v>
      </c>
      <c r="P79" t="s">
        <v>102</v>
      </c>
      <c r="Q79" t="s">
        <v>103</v>
      </c>
      <c r="R79">
        <v>2025</v>
      </c>
      <c r="S79">
        <v>2026</v>
      </c>
      <c r="T79" t="s">
        <v>101</v>
      </c>
      <c r="U79">
        <v>85</v>
      </c>
      <c r="V79">
        <v>133248</v>
      </c>
      <c r="W79">
        <v>139.63</v>
      </c>
      <c r="X79">
        <v>587.41999999999996</v>
      </c>
      <c r="Y79">
        <v>0</v>
      </c>
      <c r="Z79">
        <v>59.84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19987.2</v>
      </c>
      <c r="AG79">
        <v>2220000</v>
      </c>
      <c r="AH79">
        <v>1000000</v>
      </c>
      <c r="AI79">
        <v>200000</v>
      </c>
      <c r="AJ79">
        <v>1000000</v>
      </c>
      <c r="AK79">
        <v>10000</v>
      </c>
      <c r="AL79">
        <v>10000</v>
      </c>
      <c r="AM79" s="42">
        <v>46113</v>
      </c>
      <c r="AN79" s="42">
        <v>46447</v>
      </c>
      <c r="AO79">
        <v>0</v>
      </c>
      <c r="AP79">
        <v>0</v>
      </c>
      <c r="AQ79">
        <v>0</v>
      </c>
      <c r="AR79" s="8">
        <f t="shared" si="2"/>
        <v>2194.17</v>
      </c>
      <c r="AS79" s="38">
        <f t="shared" si="3"/>
        <v>1649.2698221999999</v>
      </c>
      <c r="AT79" s="39" t="s">
        <v>121</v>
      </c>
      <c r="AU79" s="40">
        <f>VLOOKUP(N79,'Apólice Endosso'!D:XFD,23,0)</f>
        <v>0</v>
      </c>
      <c r="AV79" s="39" t="str">
        <f>VLOOKUP(N79,'Apólice Endosso'!D:XFD,28,0)</f>
        <v>Padrão (100%) sem blindagem - 1M - Contrato 2025</v>
      </c>
      <c r="AW79" s="41" t="str">
        <f>IF(VLOOKUP(N79,'Apólice Endosso'!D:XFD,47,0)=0,"",VLOOKUP(N79,'Apólice Endosso'!D:XFD,47,0))</f>
        <v/>
      </c>
      <c r="AX79" s="40">
        <f>VLOOKUP(N79,'Apólice Endosso'!D:XFD,30,0)</f>
        <v>7049</v>
      </c>
      <c r="AY79" s="36">
        <v>1673.5924660000003</v>
      </c>
      <c r="AZ79" s="16">
        <v>7049</v>
      </c>
      <c r="BA79" s="16"/>
    </row>
    <row r="80" spans="1:53" x14ac:dyDescent="0.3">
      <c r="A80" t="s">
        <v>85</v>
      </c>
      <c r="B80" s="9">
        <v>46134</v>
      </c>
      <c r="C80">
        <v>0</v>
      </c>
      <c r="D80" t="s">
        <v>84</v>
      </c>
      <c r="E80">
        <v>2103</v>
      </c>
      <c r="F80">
        <v>2103</v>
      </c>
      <c r="G80"/>
      <c r="H80"/>
      <c r="J80" t="s">
        <v>97</v>
      </c>
      <c r="K80" t="s">
        <v>98</v>
      </c>
      <c r="L80" t="s">
        <v>366</v>
      </c>
      <c r="M80" t="s">
        <v>86</v>
      </c>
      <c r="N80" t="s">
        <v>367</v>
      </c>
      <c r="O80" t="s">
        <v>87</v>
      </c>
      <c r="P80" t="s">
        <v>102</v>
      </c>
      <c r="Q80" t="s">
        <v>103</v>
      </c>
      <c r="R80">
        <v>2025</v>
      </c>
      <c r="S80">
        <v>2026</v>
      </c>
      <c r="T80" t="s">
        <v>101</v>
      </c>
      <c r="U80">
        <v>85</v>
      </c>
      <c r="V80">
        <v>133248</v>
      </c>
      <c r="W80">
        <v>139.63</v>
      </c>
      <c r="X80">
        <v>587.41999999999996</v>
      </c>
      <c r="Y80">
        <v>0</v>
      </c>
      <c r="Z80">
        <v>59.84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19987.2</v>
      </c>
      <c r="AG80">
        <v>2220000</v>
      </c>
      <c r="AH80">
        <v>1000000</v>
      </c>
      <c r="AI80">
        <v>200000</v>
      </c>
      <c r="AJ80">
        <v>1000000</v>
      </c>
      <c r="AK80">
        <v>10000</v>
      </c>
      <c r="AL80">
        <v>10000</v>
      </c>
      <c r="AM80" s="42">
        <v>46113</v>
      </c>
      <c r="AN80" s="42">
        <v>46447</v>
      </c>
      <c r="AO80">
        <v>0</v>
      </c>
      <c r="AP80">
        <v>0</v>
      </c>
      <c r="AQ80">
        <v>0</v>
      </c>
      <c r="AR80" s="8">
        <f t="shared" si="2"/>
        <v>2194.17</v>
      </c>
      <c r="AS80" s="38">
        <f t="shared" si="3"/>
        <v>1649.2698221999999</v>
      </c>
      <c r="AT80" s="39" t="s">
        <v>121</v>
      </c>
      <c r="AU80" s="40">
        <f>VLOOKUP(N80,'Apólice Endosso'!D:XFD,23,0)</f>
        <v>0</v>
      </c>
      <c r="AV80" s="39" t="str">
        <f>VLOOKUP(N80,'Apólice Endosso'!D:XFD,28,0)</f>
        <v>Padrão (100%) sem blindagem - 1M - Contrato 2025</v>
      </c>
      <c r="AW80" s="41" t="str">
        <f>IF(VLOOKUP(N80,'Apólice Endosso'!D:XFD,47,0)=0,"",VLOOKUP(N80,'Apólice Endosso'!D:XFD,47,0))</f>
        <v/>
      </c>
      <c r="AX80" s="40">
        <f>VLOOKUP(N80,'Apólice Endosso'!D:XFD,30,0)</f>
        <v>7049</v>
      </c>
      <c r="AY80" s="36">
        <v>1673.5924660000003</v>
      </c>
      <c r="AZ80" s="16">
        <v>7049</v>
      </c>
      <c r="BA80" s="16"/>
    </row>
    <row r="81" spans="1:53" x14ac:dyDescent="0.3">
      <c r="A81" t="s">
        <v>85</v>
      </c>
      <c r="B81" s="9">
        <v>46134</v>
      </c>
      <c r="C81">
        <v>0</v>
      </c>
      <c r="D81" t="s">
        <v>84</v>
      </c>
      <c r="E81">
        <v>2103</v>
      </c>
      <c r="F81">
        <v>2103</v>
      </c>
      <c r="G81"/>
      <c r="H81"/>
      <c r="J81" t="s">
        <v>97</v>
      </c>
      <c r="K81" t="s">
        <v>98</v>
      </c>
      <c r="L81" t="s">
        <v>368</v>
      </c>
      <c r="M81" t="s">
        <v>86</v>
      </c>
      <c r="N81" t="s">
        <v>369</v>
      </c>
      <c r="O81" t="s">
        <v>87</v>
      </c>
      <c r="P81" t="s">
        <v>102</v>
      </c>
      <c r="Q81" t="s">
        <v>103</v>
      </c>
      <c r="R81">
        <v>2025</v>
      </c>
      <c r="S81">
        <v>2026</v>
      </c>
      <c r="T81" t="s">
        <v>101</v>
      </c>
      <c r="U81">
        <v>85</v>
      </c>
      <c r="V81">
        <v>133248</v>
      </c>
      <c r="W81">
        <v>139.63</v>
      </c>
      <c r="X81">
        <v>587.41999999999996</v>
      </c>
      <c r="Y81">
        <v>0</v>
      </c>
      <c r="Z81">
        <v>59.84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19987.2</v>
      </c>
      <c r="AG81">
        <v>2220000</v>
      </c>
      <c r="AH81">
        <v>1000000</v>
      </c>
      <c r="AI81">
        <v>200000</v>
      </c>
      <c r="AJ81">
        <v>1000000</v>
      </c>
      <c r="AK81">
        <v>10000</v>
      </c>
      <c r="AL81">
        <v>10000</v>
      </c>
      <c r="AM81" s="42">
        <v>46113</v>
      </c>
      <c r="AN81" s="42">
        <v>46447</v>
      </c>
      <c r="AO81">
        <v>0</v>
      </c>
      <c r="AP81">
        <v>0</v>
      </c>
      <c r="AQ81">
        <v>0</v>
      </c>
      <c r="AR81" s="8">
        <f t="shared" si="2"/>
        <v>2194.17</v>
      </c>
      <c r="AS81" s="38">
        <f t="shared" si="3"/>
        <v>1649.2698221999999</v>
      </c>
      <c r="AT81" s="39" t="s">
        <v>121</v>
      </c>
      <c r="AU81" s="40">
        <f>VLOOKUP(N81,'Apólice Endosso'!D:XFD,23,0)</f>
        <v>0</v>
      </c>
      <c r="AV81" s="39" t="str">
        <f>VLOOKUP(N81,'Apólice Endosso'!D:XFD,28,0)</f>
        <v>Padrão (100%) sem blindagem - 1M - Contrato 2025</v>
      </c>
      <c r="AW81" s="41" t="str">
        <f>IF(VLOOKUP(N81,'Apólice Endosso'!D:XFD,47,0)=0,"",VLOOKUP(N81,'Apólice Endosso'!D:XFD,47,0))</f>
        <v/>
      </c>
      <c r="AX81" s="40">
        <f>VLOOKUP(N81,'Apólice Endosso'!D:XFD,30,0)</f>
        <v>7049</v>
      </c>
      <c r="AY81" s="36">
        <v>1673.5924660000003</v>
      </c>
      <c r="AZ81" s="16">
        <v>7049</v>
      </c>
      <c r="BA81" s="16"/>
    </row>
    <row r="82" spans="1:53" x14ac:dyDescent="0.3">
      <c r="A82" t="s">
        <v>85</v>
      </c>
      <c r="B82" s="9">
        <v>46134</v>
      </c>
      <c r="C82">
        <v>0</v>
      </c>
      <c r="D82" t="s">
        <v>84</v>
      </c>
      <c r="E82">
        <v>2103</v>
      </c>
      <c r="F82">
        <v>2103</v>
      </c>
      <c r="G82"/>
      <c r="H82"/>
      <c r="J82" t="s">
        <v>97</v>
      </c>
      <c r="K82" t="s">
        <v>98</v>
      </c>
      <c r="L82" t="s">
        <v>370</v>
      </c>
      <c r="M82" t="s">
        <v>86</v>
      </c>
      <c r="N82" t="s">
        <v>371</v>
      </c>
      <c r="O82" t="s">
        <v>87</v>
      </c>
      <c r="P82" t="s">
        <v>102</v>
      </c>
      <c r="Q82" t="s">
        <v>103</v>
      </c>
      <c r="R82">
        <v>2025</v>
      </c>
      <c r="S82">
        <v>2026</v>
      </c>
      <c r="T82" t="s">
        <v>101</v>
      </c>
      <c r="U82">
        <v>85</v>
      </c>
      <c r="V82">
        <v>133248</v>
      </c>
      <c r="W82">
        <v>139.63</v>
      </c>
      <c r="X82">
        <v>587.41999999999996</v>
      </c>
      <c r="Y82">
        <v>0</v>
      </c>
      <c r="Z82">
        <v>59.84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19987.2</v>
      </c>
      <c r="AG82">
        <v>2220000</v>
      </c>
      <c r="AH82">
        <v>1000000</v>
      </c>
      <c r="AI82">
        <v>200000</v>
      </c>
      <c r="AJ82">
        <v>1000000</v>
      </c>
      <c r="AK82">
        <v>10000</v>
      </c>
      <c r="AL82">
        <v>10000</v>
      </c>
      <c r="AM82" s="42">
        <v>46113</v>
      </c>
      <c r="AN82" s="42">
        <v>46447</v>
      </c>
      <c r="AO82">
        <v>0</v>
      </c>
      <c r="AP82">
        <v>0</v>
      </c>
      <c r="AQ82">
        <v>0</v>
      </c>
      <c r="AR82" s="8">
        <f t="shared" si="2"/>
        <v>2194.17</v>
      </c>
      <c r="AS82" s="38">
        <f t="shared" si="3"/>
        <v>1649.2698221999999</v>
      </c>
      <c r="AT82" s="39" t="s">
        <v>121</v>
      </c>
      <c r="AU82" s="40">
        <f>VLOOKUP(N82,'Apólice Endosso'!D:XFD,23,0)</f>
        <v>0</v>
      </c>
      <c r="AV82" s="39" t="str">
        <f>VLOOKUP(N82,'Apólice Endosso'!D:XFD,28,0)</f>
        <v>Padrão (100%) sem blindagem - 1M - Contrato 2025</v>
      </c>
      <c r="AW82" s="41" t="str">
        <f>IF(VLOOKUP(N82,'Apólice Endosso'!D:XFD,47,0)=0,"",VLOOKUP(N82,'Apólice Endosso'!D:XFD,47,0))</f>
        <v/>
      </c>
      <c r="AX82" s="40">
        <f>VLOOKUP(N82,'Apólice Endosso'!D:XFD,30,0)</f>
        <v>7049</v>
      </c>
      <c r="AY82" s="36">
        <v>1673.5924660000003</v>
      </c>
      <c r="AZ82" s="16">
        <v>7049</v>
      </c>
      <c r="BA82" s="16"/>
    </row>
    <row r="83" spans="1:53" x14ac:dyDescent="0.3">
      <c r="A83" t="s">
        <v>85</v>
      </c>
      <c r="B83" s="9">
        <v>46134</v>
      </c>
      <c r="C83">
        <v>0</v>
      </c>
      <c r="D83" t="s">
        <v>84</v>
      </c>
      <c r="E83">
        <v>2103</v>
      </c>
      <c r="F83">
        <v>2103</v>
      </c>
      <c r="G83"/>
      <c r="H83"/>
      <c r="J83" t="s">
        <v>97</v>
      </c>
      <c r="K83" t="s">
        <v>98</v>
      </c>
      <c r="L83" t="s">
        <v>372</v>
      </c>
      <c r="M83" t="s">
        <v>86</v>
      </c>
      <c r="N83" t="s">
        <v>373</v>
      </c>
      <c r="O83" t="s">
        <v>87</v>
      </c>
      <c r="P83" t="s">
        <v>99</v>
      </c>
      <c r="Q83" t="s">
        <v>100</v>
      </c>
      <c r="R83">
        <v>2026</v>
      </c>
      <c r="S83">
        <v>2026</v>
      </c>
      <c r="T83" t="s">
        <v>101</v>
      </c>
      <c r="U83">
        <v>85</v>
      </c>
      <c r="V83">
        <v>133248</v>
      </c>
      <c r="W83">
        <v>139.63</v>
      </c>
      <c r="X83">
        <v>587.41999999999996</v>
      </c>
      <c r="Y83">
        <v>0</v>
      </c>
      <c r="Z83">
        <v>59.84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19987.2</v>
      </c>
      <c r="AG83">
        <v>2220000</v>
      </c>
      <c r="AH83">
        <v>1000000</v>
      </c>
      <c r="AI83">
        <v>200000</v>
      </c>
      <c r="AJ83">
        <v>1000000</v>
      </c>
      <c r="AK83">
        <v>10000</v>
      </c>
      <c r="AL83">
        <v>10000</v>
      </c>
      <c r="AM83" s="42">
        <v>46113</v>
      </c>
      <c r="AN83" s="42">
        <v>46447</v>
      </c>
      <c r="AO83">
        <v>0</v>
      </c>
      <c r="AP83">
        <v>0</v>
      </c>
      <c r="AQ83">
        <v>0</v>
      </c>
      <c r="AR83" s="8">
        <f t="shared" si="2"/>
        <v>2194.17</v>
      </c>
      <c r="AS83" s="38">
        <f t="shared" si="3"/>
        <v>1649.2698221999999</v>
      </c>
      <c r="AT83" s="39" t="s">
        <v>121</v>
      </c>
      <c r="AU83" s="40">
        <f>VLOOKUP(N83,'Apólice Endosso'!D:XFD,23,0)</f>
        <v>0</v>
      </c>
      <c r="AV83" s="39" t="str">
        <f>VLOOKUP(N83,'Apólice Endosso'!D:XFD,28,0)</f>
        <v>Padrão (100%) sem blindagem - 1M - Contrato 2025</v>
      </c>
      <c r="AW83" s="41" t="str">
        <f>IF(VLOOKUP(N83,'Apólice Endosso'!D:XFD,47,0)=0,"",VLOOKUP(N83,'Apólice Endosso'!D:XFD,47,0))</f>
        <v/>
      </c>
      <c r="AX83" s="40">
        <f>VLOOKUP(N83,'Apólice Endosso'!D:XFD,30,0)</f>
        <v>7049</v>
      </c>
      <c r="AY83" s="36">
        <v>1673.5924660000003</v>
      </c>
      <c r="AZ83" s="16">
        <v>7049</v>
      </c>
      <c r="BA83" s="16"/>
    </row>
    <row r="84" spans="1:53" x14ac:dyDescent="0.3">
      <c r="A84" t="s">
        <v>85</v>
      </c>
      <c r="B84" s="9">
        <v>46134</v>
      </c>
      <c r="C84">
        <v>0</v>
      </c>
      <c r="D84" t="s">
        <v>84</v>
      </c>
      <c r="E84">
        <v>2103</v>
      </c>
      <c r="F84">
        <v>2103</v>
      </c>
      <c r="G84"/>
      <c r="H84"/>
      <c r="J84" t="s">
        <v>97</v>
      </c>
      <c r="K84" t="s">
        <v>98</v>
      </c>
      <c r="L84" t="s">
        <v>374</v>
      </c>
      <c r="M84" t="s">
        <v>86</v>
      </c>
      <c r="N84" t="s">
        <v>375</v>
      </c>
      <c r="O84" t="s">
        <v>87</v>
      </c>
      <c r="P84" t="s">
        <v>99</v>
      </c>
      <c r="Q84" t="s">
        <v>100</v>
      </c>
      <c r="R84">
        <v>2026</v>
      </c>
      <c r="S84">
        <v>2026</v>
      </c>
      <c r="T84" t="s">
        <v>101</v>
      </c>
      <c r="U84">
        <v>85</v>
      </c>
      <c r="V84">
        <v>133248</v>
      </c>
      <c r="W84">
        <v>139.63</v>
      </c>
      <c r="X84">
        <v>587.41999999999996</v>
      </c>
      <c r="Y84">
        <v>0</v>
      </c>
      <c r="Z84">
        <v>59.84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19987.2</v>
      </c>
      <c r="AG84">
        <v>2220000</v>
      </c>
      <c r="AH84">
        <v>1000000</v>
      </c>
      <c r="AI84">
        <v>200000</v>
      </c>
      <c r="AJ84">
        <v>1000000</v>
      </c>
      <c r="AK84">
        <v>10000</v>
      </c>
      <c r="AL84">
        <v>10000</v>
      </c>
      <c r="AM84" s="42">
        <v>46113</v>
      </c>
      <c r="AN84" s="42">
        <v>46447</v>
      </c>
      <c r="AO84">
        <v>0</v>
      </c>
      <c r="AP84">
        <v>0</v>
      </c>
      <c r="AQ84">
        <v>0</v>
      </c>
      <c r="AR84" s="8">
        <f t="shared" si="2"/>
        <v>2194.17</v>
      </c>
      <c r="AS84" s="38">
        <f t="shared" si="3"/>
        <v>1649.2698221999999</v>
      </c>
      <c r="AT84" s="39" t="s">
        <v>121</v>
      </c>
      <c r="AU84" s="40">
        <f>VLOOKUP(N84,'Apólice Endosso'!D:XFD,23,0)</f>
        <v>0</v>
      </c>
      <c r="AV84" s="39" t="str">
        <f>VLOOKUP(N84,'Apólice Endosso'!D:XFD,28,0)</f>
        <v>Padrão (100%) sem blindagem - 1M - Contrato 2025</v>
      </c>
      <c r="AW84" s="41" t="str">
        <f>IF(VLOOKUP(N84,'Apólice Endosso'!D:XFD,47,0)=0,"",VLOOKUP(N84,'Apólice Endosso'!D:XFD,47,0))</f>
        <v/>
      </c>
      <c r="AX84" s="40">
        <f>VLOOKUP(N84,'Apólice Endosso'!D:XFD,30,0)</f>
        <v>7049</v>
      </c>
      <c r="AY84" s="36">
        <v>1673.5924660000003</v>
      </c>
      <c r="AZ84" s="16">
        <v>7049</v>
      </c>
      <c r="BA84" s="16"/>
    </row>
    <row r="85" spans="1:53" x14ac:dyDescent="0.3">
      <c r="A85" t="s">
        <v>85</v>
      </c>
      <c r="B85" s="9">
        <v>46134</v>
      </c>
      <c r="C85">
        <v>0</v>
      </c>
      <c r="D85" t="s">
        <v>84</v>
      </c>
      <c r="E85">
        <v>2103</v>
      </c>
      <c r="F85">
        <v>2103</v>
      </c>
      <c r="G85"/>
      <c r="H85"/>
      <c r="J85" t="s">
        <v>97</v>
      </c>
      <c r="K85" t="s">
        <v>98</v>
      </c>
      <c r="L85" t="s">
        <v>376</v>
      </c>
      <c r="M85" t="s">
        <v>86</v>
      </c>
      <c r="N85" t="s">
        <v>377</v>
      </c>
      <c r="O85" t="s">
        <v>87</v>
      </c>
      <c r="P85" t="s">
        <v>99</v>
      </c>
      <c r="Q85" t="s">
        <v>100</v>
      </c>
      <c r="R85">
        <v>2026</v>
      </c>
      <c r="S85">
        <v>2026</v>
      </c>
      <c r="T85" t="s">
        <v>101</v>
      </c>
      <c r="U85">
        <v>85</v>
      </c>
      <c r="V85">
        <v>133248</v>
      </c>
      <c r="W85">
        <v>139.63</v>
      </c>
      <c r="X85">
        <v>587.41999999999996</v>
      </c>
      <c r="Y85">
        <v>0</v>
      </c>
      <c r="Z85">
        <v>59.84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19987.2</v>
      </c>
      <c r="AG85">
        <v>2220000</v>
      </c>
      <c r="AH85">
        <v>1000000</v>
      </c>
      <c r="AI85">
        <v>200000</v>
      </c>
      <c r="AJ85">
        <v>1000000</v>
      </c>
      <c r="AK85">
        <v>10000</v>
      </c>
      <c r="AL85">
        <v>10000</v>
      </c>
      <c r="AM85" s="42">
        <v>46113</v>
      </c>
      <c r="AN85" s="42">
        <v>46447</v>
      </c>
      <c r="AO85">
        <v>0</v>
      </c>
      <c r="AP85">
        <v>0</v>
      </c>
      <c r="AQ85">
        <v>0</v>
      </c>
      <c r="AR85" s="8">
        <f t="shared" si="2"/>
        <v>2194.17</v>
      </c>
      <c r="AS85" s="38">
        <f t="shared" si="3"/>
        <v>1649.2698221999999</v>
      </c>
      <c r="AT85" s="39" t="s">
        <v>121</v>
      </c>
      <c r="AU85" s="40">
        <f>VLOOKUP(N85,'Apólice Endosso'!D:XFD,23,0)</f>
        <v>0</v>
      </c>
      <c r="AV85" s="39" t="str">
        <f>VLOOKUP(N85,'Apólice Endosso'!D:XFD,28,0)</f>
        <v>Padrão (100%) sem blindagem - 1M - Contrato 2025</v>
      </c>
      <c r="AW85" s="41" t="str">
        <f>IF(VLOOKUP(N85,'Apólice Endosso'!D:XFD,47,0)=0,"",VLOOKUP(N85,'Apólice Endosso'!D:XFD,47,0))</f>
        <v/>
      </c>
      <c r="AX85" s="40">
        <f>VLOOKUP(N85,'Apólice Endosso'!D:XFD,30,0)</f>
        <v>7049</v>
      </c>
      <c r="AY85" s="36">
        <v>1673.5924660000003</v>
      </c>
      <c r="AZ85" s="16">
        <v>7049</v>
      </c>
      <c r="BA85" s="16"/>
    </row>
    <row r="86" spans="1:53" x14ac:dyDescent="0.3">
      <c r="A86" t="s">
        <v>85</v>
      </c>
      <c r="B86" s="9">
        <v>46134</v>
      </c>
      <c r="C86">
        <v>0</v>
      </c>
      <c r="D86" t="s">
        <v>84</v>
      </c>
      <c r="E86">
        <v>2103</v>
      </c>
      <c r="F86">
        <v>2103</v>
      </c>
      <c r="G86"/>
      <c r="H86"/>
      <c r="J86" t="s">
        <v>97</v>
      </c>
      <c r="K86" t="s">
        <v>98</v>
      </c>
      <c r="L86" t="s">
        <v>378</v>
      </c>
      <c r="M86" t="s">
        <v>86</v>
      </c>
      <c r="N86" t="s">
        <v>379</v>
      </c>
      <c r="O86" t="s">
        <v>87</v>
      </c>
      <c r="P86" t="s">
        <v>102</v>
      </c>
      <c r="Q86" t="s">
        <v>103</v>
      </c>
      <c r="R86">
        <v>2025</v>
      </c>
      <c r="S86">
        <v>2026</v>
      </c>
      <c r="T86" t="s">
        <v>101</v>
      </c>
      <c r="U86">
        <v>85</v>
      </c>
      <c r="V86">
        <v>133248</v>
      </c>
      <c r="W86">
        <v>139.63</v>
      </c>
      <c r="X86">
        <v>587.41999999999996</v>
      </c>
      <c r="Y86">
        <v>0</v>
      </c>
      <c r="Z86">
        <v>59.84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19987.2</v>
      </c>
      <c r="AG86">
        <v>2220000</v>
      </c>
      <c r="AH86">
        <v>1000000</v>
      </c>
      <c r="AI86">
        <v>200000</v>
      </c>
      <c r="AJ86">
        <v>1000000</v>
      </c>
      <c r="AK86">
        <v>10000</v>
      </c>
      <c r="AL86">
        <v>10000</v>
      </c>
      <c r="AM86" s="42">
        <v>46113</v>
      </c>
      <c r="AN86" s="42">
        <v>46447</v>
      </c>
      <c r="AO86">
        <v>0</v>
      </c>
      <c r="AP86">
        <v>0</v>
      </c>
      <c r="AQ86">
        <v>0</v>
      </c>
      <c r="AR86" s="8">
        <f t="shared" si="2"/>
        <v>2194.17</v>
      </c>
      <c r="AS86" s="38">
        <f t="shared" si="3"/>
        <v>1649.2698221999999</v>
      </c>
      <c r="AT86" s="39" t="s">
        <v>121</v>
      </c>
      <c r="AU86" s="40">
        <f>VLOOKUP(N86,'Apólice Endosso'!D:XFD,23,0)</f>
        <v>0</v>
      </c>
      <c r="AV86" s="39" t="str">
        <f>VLOOKUP(N86,'Apólice Endosso'!D:XFD,28,0)</f>
        <v>Padrão (100%) sem blindagem - 1M - Contrato 2025</v>
      </c>
      <c r="AW86" s="41" t="str">
        <f>IF(VLOOKUP(N86,'Apólice Endosso'!D:XFD,47,0)=0,"",VLOOKUP(N86,'Apólice Endosso'!D:XFD,47,0))</f>
        <v/>
      </c>
      <c r="AX86" s="40">
        <f>VLOOKUP(N86,'Apólice Endosso'!D:XFD,30,0)</f>
        <v>7049</v>
      </c>
      <c r="AY86" s="36">
        <v>1673.5924660000003</v>
      </c>
      <c r="AZ86" s="16">
        <v>7049</v>
      </c>
      <c r="BA86" s="16"/>
    </row>
    <row r="87" spans="1:53" x14ac:dyDescent="0.3">
      <c r="A87" t="s">
        <v>85</v>
      </c>
      <c r="B87" s="9">
        <v>46135</v>
      </c>
      <c r="C87">
        <v>0</v>
      </c>
      <c r="D87" t="s">
        <v>84</v>
      </c>
      <c r="E87">
        <v>2103</v>
      </c>
      <c r="F87">
        <v>2103</v>
      </c>
      <c r="G87"/>
      <c r="H87"/>
      <c r="J87" t="s">
        <v>149</v>
      </c>
      <c r="K87" t="s">
        <v>150</v>
      </c>
      <c r="L87" t="s">
        <v>380</v>
      </c>
      <c r="M87" t="s">
        <v>86</v>
      </c>
      <c r="N87" t="s">
        <v>381</v>
      </c>
      <c r="O87" t="s">
        <v>87</v>
      </c>
      <c r="P87" t="s">
        <v>89</v>
      </c>
      <c r="Q87" t="s">
        <v>90</v>
      </c>
      <c r="R87">
        <v>2026</v>
      </c>
      <c r="S87">
        <v>2026</v>
      </c>
      <c r="T87" t="s">
        <v>88</v>
      </c>
      <c r="U87">
        <v>85</v>
      </c>
      <c r="V87">
        <v>84669</v>
      </c>
      <c r="W87">
        <v>152.16</v>
      </c>
      <c r="X87">
        <v>420.86</v>
      </c>
      <c r="Y87">
        <v>0</v>
      </c>
      <c r="Z87">
        <v>65.209999999999994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12700.35</v>
      </c>
      <c r="AG87">
        <v>320000</v>
      </c>
      <c r="AH87">
        <v>150000</v>
      </c>
      <c r="AI87">
        <v>0</v>
      </c>
      <c r="AJ87">
        <v>150000</v>
      </c>
      <c r="AK87">
        <v>10000</v>
      </c>
      <c r="AL87">
        <v>10000</v>
      </c>
      <c r="AM87" s="42">
        <v>46113</v>
      </c>
      <c r="AN87" s="42">
        <v>46447</v>
      </c>
      <c r="AO87">
        <v>0</v>
      </c>
      <c r="AP87">
        <v>0</v>
      </c>
      <c r="AQ87">
        <v>0</v>
      </c>
      <c r="AR87" s="8">
        <f t="shared" si="2"/>
        <v>2391.0700000000002</v>
      </c>
      <c r="AS87" s="38">
        <f t="shared" si="3"/>
        <v>1797.2716762</v>
      </c>
      <c r="AT87" s="39" t="s">
        <v>173</v>
      </c>
      <c r="AU87" s="40">
        <f>VLOOKUP(N87,'Apólice Endosso'!D:XFD,23,0)</f>
        <v>0</v>
      </c>
      <c r="AV87" s="39" t="str">
        <f>VLOOKUP(N87,'Apólice Endosso'!D:XFD,28,0)</f>
        <v>Padrão (100%) sem blindagem - 150k - Contrato 2025</v>
      </c>
      <c r="AW87" s="41" t="str">
        <f>IF(VLOOKUP(N87,'Apólice Endosso'!D:XFD,47,0)=0,"",VLOOKUP(N87,'Apólice Endosso'!D:XFD,47,0))</f>
        <v/>
      </c>
      <c r="AX87" s="40">
        <f>VLOOKUP(N87,'Apólice Endosso'!D:XFD,30,0)</f>
        <v>5050.3500000000004</v>
      </c>
      <c r="AY87" s="36">
        <v>1809.0308599999998</v>
      </c>
      <c r="AZ87" s="16">
        <v>5050.3500000000004</v>
      </c>
      <c r="BA87" s="16"/>
    </row>
    <row r="88" spans="1:53" x14ac:dyDescent="0.3">
      <c r="A88" t="s">
        <v>85</v>
      </c>
      <c r="B88" s="9">
        <v>46135</v>
      </c>
      <c r="C88">
        <v>0</v>
      </c>
      <c r="D88" t="s">
        <v>84</v>
      </c>
      <c r="E88">
        <v>2103</v>
      </c>
      <c r="F88">
        <v>2103</v>
      </c>
      <c r="G88"/>
      <c r="H88"/>
      <c r="J88" t="s">
        <v>382</v>
      </c>
      <c r="K88" t="s">
        <v>383</v>
      </c>
      <c r="L88" t="s">
        <v>384</v>
      </c>
      <c r="M88" t="s">
        <v>86</v>
      </c>
      <c r="N88" t="s">
        <v>385</v>
      </c>
      <c r="O88" t="s">
        <v>87</v>
      </c>
      <c r="P88" t="s">
        <v>123</v>
      </c>
      <c r="Q88" t="s">
        <v>189</v>
      </c>
      <c r="R88">
        <v>2025</v>
      </c>
      <c r="S88">
        <v>2025</v>
      </c>
      <c r="T88" t="s">
        <v>125</v>
      </c>
      <c r="U88">
        <v>85</v>
      </c>
      <c r="V88">
        <v>0</v>
      </c>
      <c r="W88">
        <v>231.98</v>
      </c>
      <c r="X88">
        <v>1458.29</v>
      </c>
      <c r="Y88">
        <v>0</v>
      </c>
      <c r="Z88">
        <v>99.42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620000</v>
      </c>
      <c r="AH88">
        <v>300000</v>
      </c>
      <c r="AI88">
        <v>0</v>
      </c>
      <c r="AJ88">
        <v>300000</v>
      </c>
      <c r="AK88">
        <v>10000</v>
      </c>
      <c r="AL88">
        <v>10000</v>
      </c>
      <c r="AM88" s="42">
        <v>46113</v>
      </c>
      <c r="AN88" s="42">
        <v>46447</v>
      </c>
      <c r="AO88">
        <v>0</v>
      </c>
      <c r="AP88">
        <v>0</v>
      </c>
      <c r="AQ88">
        <v>0</v>
      </c>
      <c r="AR88" s="8">
        <f t="shared" si="2"/>
        <v>3645.3999999999996</v>
      </c>
      <c r="AS88" s="38">
        <f t="shared" si="3"/>
        <v>2740.1013639999996</v>
      </c>
      <c r="AT88" s="39" t="s">
        <v>863</v>
      </c>
      <c r="AU88" s="40">
        <f>VLOOKUP(N88,'Apólice Endosso'!D:XFD,23,0)</f>
        <v>0</v>
      </c>
      <c r="AV88" s="39" t="str">
        <f>VLOOKUP(N88,'Apólice Endosso'!D:XFD,28,0)</f>
        <v>Padrão (100%) sem blindagem - 300k - Contrato 2025</v>
      </c>
      <c r="AW88" s="41" t="str">
        <f>IF(VLOOKUP(N88,'Apólice Endosso'!D:XFD,47,0)=0,"",VLOOKUP(N88,'Apólice Endosso'!D:XFD,47,0))</f>
        <v/>
      </c>
      <c r="AX88" s="40">
        <f>VLOOKUP(N88,'Apólice Endosso'!D:XFD,30,0)</f>
        <v>17499.5</v>
      </c>
      <c r="AY88" s="36">
        <v>2671.7432559999997</v>
      </c>
      <c r="AZ88" s="16">
        <v>17499.5</v>
      </c>
      <c r="BA88" s="16"/>
    </row>
    <row r="89" spans="1:53" x14ac:dyDescent="0.3">
      <c r="A89" t="s">
        <v>85</v>
      </c>
      <c r="B89" s="9">
        <v>46135</v>
      </c>
      <c r="C89">
        <v>0</v>
      </c>
      <c r="D89" t="s">
        <v>84</v>
      </c>
      <c r="E89">
        <v>2103</v>
      </c>
      <c r="F89">
        <v>2103</v>
      </c>
      <c r="G89"/>
      <c r="H89"/>
      <c r="J89" t="s">
        <v>149</v>
      </c>
      <c r="K89" t="s">
        <v>150</v>
      </c>
      <c r="L89" t="s">
        <v>386</v>
      </c>
      <c r="M89" t="s">
        <v>86</v>
      </c>
      <c r="N89" t="s">
        <v>387</v>
      </c>
      <c r="O89" t="s">
        <v>87</v>
      </c>
      <c r="P89" t="s">
        <v>89</v>
      </c>
      <c r="Q89" t="s">
        <v>90</v>
      </c>
      <c r="R89">
        <v>2026</v>
      </c>
      <c r="S89">
        <v>2026</v>
      </c>
      <c r="T89" t="s">
        <v>88</v>
      </c>
      <c r="U89">
        <v>85</v>
      </c>
      <c r="V89">
        <v>84669</v>
      </c>
      <c r="W89">
        <v>152.16</v>
      </c>
      <c r="X89">
        <v>420.86</v>
      </c>
      <c r="Y89">
        <v>0</v>
      </c>
      <c r="Z89">
        <v>65.209999999999994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12700.35</v>
      </c>
      <c r="AG89">
        <v>320000</v>
      </c>
      <c r="AH89">
        <v>150000</v>
      </c>
      <c r="AI89">
        <v>0</v>
      </c>
      <c r="AJ89">
        <v>150000</v>
      </c>
      <c r="AK89">
        <v>10000</v>
      </c>
      <c r="AL89">
        <v>10000</v>
      </c>
      <c r="AM89" s="42">
        <v>46113</v>
      </c>
      <c r="AN89" s="42">
        <v>46447</v>
      </c>
      <c r="AO89">
        <v>0</v>
      </c>
      <c r="AP89">
        <v>0</v>
      </c>
      <c r="AQ89">
        <v>0</v>
      </c>
      <c r="AR89" s="8">
        <f t="shared" si="2"/>
        <v>2391.0700000000002</v>
      </c>
      <c r="AS89" s="38">
        <f t="shared" si="3"/>
        <v>1797.2716762</v>
      </c>
      <c r="AT89" s="39" t="s">
        <v>173</v>
      </c>
      <c r="AU89" s="40">
        <f>VLOOKUP(N89,'Apólice Endosso'!D:XFD,23,0)</f>
        <v>0</v>
      </c>
      <c r="AV89" s="39" t="str">
        <f>VLOOKUP(N89,'Apólice Endosso'!D:XFD,28,0)</f>
        <v>Padrão (100%) sem blindagem - 150k - Contrato 2025</v>
      </c>
      <c r="AW89" s="41" t="str">
        <f>IF(VLOOKUP(N89,'Apólice Endosso'!D:XFD,47,0)=0,"",VLOOKUP(N89,'Apólice Endosso'!D:XFD,47,0))</f>
        <v/>
      </c>
      <c r="AX89" s="40">
        <f>VLOOKUP(N89,'Apólice Endosso'!D:XFD,30,0)</f>
        <v>5050.3500000000004</v>
      </c>
      <c r="AY89" s="36">
        <v>1809.0308599999998</v>
      </c>
      <c r="AZ89" s="16">
        <v>5050.3500000000004</v>
      </c>
      <c r="BA89" s="16"/>
    </row>
    <row r="90" spans="1:53" x14ac:dyDescent="0.3">
      <c r="A90" t="s">
        <v>85</v>
      </c>
      <c r="B90" s="9">
        <v>46135</v>
      </c>
      <c r="C90">
        <v>0</v>
      </c>
      <c r="D90" t="s">
        <v>84</v>
      </c>
      <c r="E90">
        <v>2103</v>
      </c>
      <c r="F90">
        <v>2103</v>
      </c>
      <c r="G90"/>
      <c r="H90"/>
      <c r="J90" t="s">
        <v>149</v>
      </c>
      <c r="K90" t="s">
        <v>150</v>
      </c>
      <c r="L90" t="s">
        <v>388</v>
      </c>
      <c r="M90" t="s">
        <v>86</v>
      </c>
      <c r="N90" t="s">
        <v>389</v>
      </c>
      <c r="O90" t="s">
        <v>87</v>
      </c>
      <c r="P90" t="s">
        <v>89</v>
      </c>
      <c r="Q90" t="s">
        <v>90</v>
      </c>
      <c r="R90">
        <v>2026</v>
      </c>
      <c r="S90">
        <v>2026</v>
      </c>
      <c r="T90" t="s">
        <v>88</v>
      </c>
      <c r="U90">
        <v>85</v>
      </c>
      <c r="V90">
        <v>84669</v>
      </c>
      <c r="W90">
        <v>152.16</v>
      </c>
      <c r="X90">
        <v>420.86</v>
      </c>
      <c r="Y90">
        <v>0</v>
      </c>
      <c r="Z90">
        <v>65.209999999999994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12700.35</v>
      </c>
      <c r="AG90">
        <v>320000</v>
      </c>
      <c r="AH90">
        <v>150000</v>
      </c>
      <c r="AI90">
        <v>0</v>
      </c>
      <c r="AJ90">
        <v>150000</v>
      </c>
      <c r="AK90">
        <v>10000</v>
      </c>
      <c r="AL90">
        <v>10000</v>
      </c>
      <c r="AM90" s="42">
        <v>46113</v>
      </c>
      <c r="AN90" s="42">
        <v>46447</v>
      </c>
      <c r="AO90">
        <v>0</v>
      </c>
      <c r="AP90">
        <v>0</v>
      </c>
      <c r="AQ90">
        <v>0</v>
      </c>
      <c r="AR90" s="8">
        <f t="shared" si="2"/>
        <v>2391.0700000000002</v>
      </c>
      <c r="AS90" s="38">
        <f t="shared" si="3"/>
        <v>1797.2716762</v>
      </c>
      <c r="AT90" s="39" t="s">
        <v>173</v>
      </c>
      <c r="AU90" s="40">
        <f>VLOOKUP(N90,'Apólice Endosso'!D:XFD,23,0)</f>
        <v>0</v>
      </c>
      <c r="AV90" s="39" t="str">
        <f>VLOOKUP(N90,'Apólice Endosso'!D:XFD,28,0)</f>
        <v>Padrão (100%) sem blindagem - 150k - Contrato 2025</v>
      </c>
      <c r="AW90" s="41" t="str">
        <f>IF(VLOOKUP(N90,'Apólice Endosso'!D:XFD,47,0)=0,"",VLOOKUP(N90,'Apólice Endosso'!D:XFD,47,0))</f>
        <v/>
      </c>
      <c r="AX90" s="40">
        <f>VLOOKUP(N90,'Apólice Endosso'!D:XFD,30,0)</f>
        <v>5050.3500000000004</v>
      </c>
      <c r="AY90" s="36">
        <v>1809.0308599999998</v>
      </c>
      <c r="AZ90" s="16">
        <v>5050.3500000000004</v>
      </c>
      <c r="BA90" s="16"/>
    </row>
    <row r="91" spans="1:53" x14ac:dyDescent="0.3">
      <c r="A91" t="s">
        <v>85</v>
      </c>
      <c r="B91" s="9">
        <v>46135</v>
      </c>
      <c r="C91">
        <v>0</v>
      </c>
      <c r="D91" t="s">
        <v>84</v>
      </c>
      <c r="E91">
        <v>2103</v>
      </c>
      <c r="F91">
        <v>2103</v>
      </c>
      <c r="G91"/>
      <c r="H91"/>
      <c r="J91" t="s">
        <v>149</v>
      </c>
      <c r="K91" t="s">
        <v>150</v>
      </c>
      <c r="L91" t="s">
        <v>390</v>
      </c>
      <c r="M91" t="s">
        <v>86</v>
      </c>
      <c r="N91" t="s">
        <v>391</v>
      </c>
      <c r="O91" t="s">
        <v>87</v>
      </c>
      <c r="P91" t="s">
        <v>89</v>
      </c>
      <c r="Q91" t="s">
        <v>90</v>
      </c>
      <c r="R91">
        <v>2026</v>
      </c>
      <c r="S91">
        <v>2026</v>
      </c>
      <c r="T91" t="s">
        <v>88</v>
      </c>
      <c r="U91">
        <v>85</v>
      </c>
      <c r="V91">
        <v>84669</v>
      </c>
      <c r="W91">
        <v>152.16</v>
      </c>
      <c r="X91">
        <v>420.86</v>
      </c>
      <c r="Y91">
        <v>0</v>
      </c>
      <c r="Z91">
        <v>65.209999999999994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12700.35</v>
      </c>
      <c r="AG91">
        <v>320000</v>
      </c>
      <c r="AH91">
        <v>150000</v>
      </c>
      <c r="AI91">
        <v>0</v>
      </c>
      <c r="AJ91">
        <v>150000</v>
      </c>
      <c r="AK91">
        <v>10000</v>
      </c>
      <c r="AL91">
        <v>10000</v>
      </c>
      <c r="AM91" s="42">
        <v>46113</v>
      </c>
      <c r="AN91" s="42">
        <v>46447</v>
      </c>
      <c r="AO91">
        <v>0</v>
      </c>
      <c r="AP91">
        <v>0</v>
      </c>
      <c r="AQ91">
        <v>0</v>
      </c>
      <c r="AR91" s="8">
        <f t="shared" si="2"/>
        <v>2391.0700000000002</v>
      </c>
      <c r="AS91" s="38">
        <f t="shared" si="3"/>
        <v>1797.2716762</v>
      </c>
      <c r="AT91" s="39" t="s">
        <v>173</v>
      </c>
      <c r="AU91" s="40">
        <f>VLOOKUP(N91,'Apólice Endosso'!D:XFD,23,0)</f>
        <v>0</v>
      </c>
      <c r="AV91" s="39" t="str">
        <f>VLOOKUP(N91,'Apólice Endosso'!D:XFD,28,0)</f>
        <v>Padrão (100%) sem blindagem - 150k - Contrato 2025</v>
      </c>
      <c r="AW91" s="41" t="str">
        <f>IF(VLOOKUP(N91,'Apólice Endosso'!D:XFD,47,0)=0,"",VLOOKUP(N91,'Apólice Endosso'!D:XFD,47,0))</f>
        <v/>
      </c>
      <c r="AX91" s="40">
        <f>VLOOKUP(N91,'Apólice Endosso'!D:XFD,30,0)</f>
        <v>5050.3500000000004</v>
      </c>
      <c r="AY91" s="36">
        <v>1809.0308599999998</v>
      </c>
      <c r="AZ91" s="16">
        <v>5050.3500000000004</v>
      </c>
      <c r="BA91" s="16"/>
    </row>
    <row r="92" spans="1:53" x14ac:dyDescent="0.3">
      <c r="A92" t="s">
        <v>85</v>
      </c>
      <c r="B92" s="9">
        <v>46135</v>
      </c>
      <c r="C92">
        <v>0</v>
      </c>
      <c r="D92" t="s">
        <v>84</v>
      </c>
      <c r="E92">
        <v>2103</v>
      </c>
      <c r="F92">
        <v>2103</v>
      </c>
      <c r="G92"/>
      <c r="H92"/>
      <c r="J92" t="s">
        <v>149</v>
      </c>
      <c r="K92" t="s">
        <v>150</v>
      </c>
      <c r="L92" t="s">
        <v>392</v>
      </c>
      <c r="M92" t="s">
        <v>86</v>
      </c>
      <c r="N92" t="s">
        <v>393</v>
      </c>
      <c r="O92" t="s">
        <v>87</v>
      </c>
      <c r="P92" t="s">
        <v>89</v>
      </c>
      <c r="Q92" t="s">
        <v>90</v>
      </c>
      <c r="R92">
        <v>2026</v>
      </c>
      <c r="S92">
        <v>2026</v>
      </c>
      <c r="T92" t="s">
        <v>88</v>
      </c>
      <c r="U92">
        <v>85</v>
      </c>
      <c r="V92">
        <v>84669</v>
      </c>
      <c r="W92">
        <v>152.16</v>
      </c>
      <c r="X92">
        <v>420.86</v>
      </c>
      <c r="Y92">
        <v>0</v>
      </c>
      <c r="Z92">
        <v>65.209999999999994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12700.35</v>
      </c>
      <c r="AG92">
        <v>320000</v>
      </c>
      <c r="AH92">
        <v>150000</v>
      </c>
      <c r="AI92">
        <v>0</v>
      </c>
      <c r="AJ92">
        <v>150000</v>
      </c>
      <c r="AK92">
        <v>10000</v>
      </c>
      <c r="AL92">
        <v>10000</v>
      </c>
      <c r="AM92" s="42">
        <v>46113</v>
      </c>
      <c r="AN92" s="42">
        <v>46447</v>
      </c>
      <c r="AO92">
        <v>0</v>
      </c>
      <c r="AP92">
        <v>0</v>
      </c>
      <c r="AQ92">
        <v>0</v>
      </c>
      <c r="AR92" s="8">
        <f t="shared" si="2"/>
        <v>2391.0700000000002</v>
      </c>
      <c r="AS92" s="38">
        <f t="shared" si="3"/>
        <v>1797.2716762</v>
      </c>
      <c r="AT92" s="39" t="s">
        <v>173</v>
      </c>
      <c r="AU92" s="40">
        <f>VLOOKUP(N92,'Apólice Endosso'!D:XFD,23,0)</f>
        <v>0</v>
      </c>
      <c r="AV92" s="39" t="str">
        <f>VLOOKUP(N92,'Apólice Endosso'!D:XFD,28,0)</f>
        <v>Padrão (100%) sem blindagem - 150k - Contrato 2025</v>
      </c>
      <c r="AW92" s="41" t="str">
        <f>IF(VLOOKUP(N92,'Apólice Endosso'!D:XFD,47,0)=0,"",VLOOKUP(N92,'Apólice Endosso'!D:XFD,47,0))</f>
        <v/>
      </c>
      <c r="AX92" s="40">
        <f>VLOOKUP(N92,'Apólice Endosso'!D:XFD,30,0)</f>
        <v>5050.3500000000004</v>
      </c>
      <c r="AY92" s="36">
        <v>1809.0308599999998</v>
      </c>
      <c r="AZ92" s="16">
        <v>5050.3500000000004</v>
      </c>
      <c r="BA92" s="16"/>
    </row>
    <row r="93" spans="1:53" x14ac:dyDescent="0.3">
      <c r="A93" t="s">
        <v>85</v>
      </c>
      <c r="B93" s="9">
        <v>46135</v>
      </c>
      <c r="C93">
        <v>0</v>
      </c>
      <c r="D93" t="s">
        <v>84</v>
      </c>
      <c r="E93">
        <v>2103</v>
      </c>
      <c r="F93">
        <v>2103</v>
      </c>
      <c r="G93"/>
      <c r="H93"/>
      <c r="J93" t="s">
        <v>149</v>
      </c>
      <c r="K93" t="s">
        <v>150</v>
      </c>
      <c r="L93" t="s">
        <v>394</v>
      </c>
      <c r="M93" t="s">
        <v>86</v>
      </c>
      <c r="N93" t="s">
        <v>395</v>
      </c>
      <c r="O93" t="s">
        <v>87</v>
      </c>
      <c r="P93" t="s">
        <v>89</v>
      </c>
      <c r="Q93" t="s">
        <v>90</v>
      </c>
      <c r="R93">
        <v>2026</v>
      </c>
      <c r="S93">
        <v>2026</v>
      </c>
      <c r="T93" t="s">
        <v>88</v>
      </c>
      <c r="U93">
        <v>85</v>
      </c>
      <c r="V93">
        <v>84669</v>
      </c>
      <c r="W93">
        <v>152.16</v>
      </c>
      <c r="X93">
        <v>420.86</v>
      </c>
      <c r="Y93">
        <v>0</v>
      </c>
      <c r="Z93">
        <v>65.209999999999994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12700.35</v>
      </c>
      <c r="AG93">
        <v>320000</v>
      </c>
      <c r="AH93">
        <v>150000</v>
      </c>
      <c r="AI93">
        <v>0</v>
      </c>
      <c r="AJ93">
        <v>150000</v>
      </c>
      <c r="AK93">
        <v>10000</v>
      </c>
      <c r="AL93">
        <v>10000</v>
      </c>
      <c r="AM93" s="42">
        <v>46113</v>
      </c>
      <c r="AN93" s="42">
        <v>46447</v>
      </c>
      <c r="AO93">
        <v>0</v>
      </c>
      <c r="AP93">
        <v>0</v>
      </c>
      <c r="AQ93">
        <v>0</v>
      </c>
      <c r="AR93" s="8">
        <f t="shared" si="2"/>
        <v>2391.0700000000002</v>
      </c>
      <c r="AS93" s="38">
        <f t="shared" si="3"/>
        <v>1797.2716762</v>
      </c>
      <c r="AT93" s="39" t="s">
        <v>173</v>
      </c>
      <c r="AU93" s="40">
        <f>VLOOKUP(N93,'Apólice Endosso'!D:XFD,23,0)</f>
        <v>0</v>
      </c>
      <c r="AV93" s="39" t="str">
        <f>VLOOKUP(N93,'Apólice Endosso'!D:XFD,28,0)</f>
        <v>Padrão (100%) sem blindagem - 150k - Contrato 2025</v>
      </c>
      <c r="AW93" s="41" t="str">
        <f>IF(VLOOKUP(N93,'Apólice Endosso'!D:XFD,47,0)=0,"",VLOOKUP(N93,'Apólice Endosso'!D:XFD,47,0))</f>
        <v/>
      </c>
      <c r="AX93" s="40">
        <f>VLOOKUP(N93,'Apólice Endosso'!D:XFD,30,0)</f>
        <v>5050.3500000000004</v>
      </c>
      <c r="AY93" s="36">
        <v>1809.0308599999998</v>
      </c>
      <c r="AZ93" s="16">
        <v>5050.3500000000004</v>
      </c>
      <c r="BA93" s="16"/>
    </row>
    <row r="94" spans="1:53" x14ac:dyDescent="0.3">
      <c r="A94" t="s">
        <v>85</v>
      </c>
      <c r="B94" s="9">
        <v>46135</v>
      </c>
      <c r="C94">
        <v>0</v>
      </c>
      <c r="D94" t="s">
        <v>84</v>
      </c>
      <c r="E94">
        <v>2103</v>
      </c>
      <c r="F94">
        <v>2103</v>
      </c>
      <c r="G94"/>
      <c r="H94"/>
      <c r="J94" t="s">
        <v>149</v>
      </c>
      <c r="K94" t="s">
        <v>150</v>
      </c>
      <c r="L94" t="s">
        <v>396</v>
      </c>
      <c r="M94" t="s">
        <v>86</v>
      </c>
      <c r="N94" t="s">
        <v>397</v>
      </c>
      <c r="O94" t="s">
        <v>87</v>
      </c>
      <c r="P94" t="s">
        <v>89</v>
      </c>
      <c r="Q94" t="s">
        <v>90</v>
      </c>
      <c r="R94">
        <v>2026</v>
      </c>
      <c r="S94">
        <v>2026</v>
      </c>
      <c r="T94" t="s">
        <v>88</v>
      </c>
      <c r="U94">
        <v>85</v>
      </c>
      <c r="V94">
        <v>84669</v>
      </c>
      <c r="W94">
        <v>152.16</v>
      </c>
      <c r="X94">
        <v>420.86</v>
      </c>
      <c r="Y94">
        <v>0</v>
      </c>
      <c r="Z94">
        <v>65.209999999999994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12700.35</v>
      </c>
      <c r="AG94">
        <v>320000</v>
      </c>
      <c r="AH94">
        <v>150000</v>
      </c>
      <c r="AI94">
        <v>0</v>
      </c>
      <c r="AJ94">
        <v>150000</v>
      </c>
      <c r="AK94">
        <v>10000</v>
      </c>
      <c r="AL94">
        <v>10000</v>
      </c>
      <c r="AM94" s="42">
        <v>46113</v>
      </c>
      <c r="AN94" s="42">
        <v>46447</v>
      </c>
      <c r="AO94">
        <v>0</v>
      </c>
      <c r="AP94">
        <v>0</v>
      </c>
      <c r="AQ94">
        <v>0</v>
      </c>
      <c r="AR94" s="8">
        <f t="shared" si="2"/>
        <v>2391.0700000000002</v>
      </c>
      <c r="AS94" s="38">
        <f t="shared" si="3"/>
        <v>1797.2716762</v>
      </c>
      <c r="AT94" s="39" t="s">
        <v>173</v>
      </c>
      <c r="AU94" s="40">
        <f>VLOOKUP(N94,'Apólice Endosso'!D:XFD,23,0)</f>
        <v>0</v>
      </c>
      <c r="AV94" s="39" t="str">
        <f>VLOOKUP(N94,'Apólice Endosso'!D:XFD,28,0)</f>
        <v>Padrão (100%) sem blindagem - 150k - Contrato 2025</v>
      </c>
      <c r="AW94" s="41" t="str">
        <f>IF(VLOOKUP(N94,'Apólice Endosso'!D:XFD,47,0)=0,"",VLOOKUP(N94,'Apólice Endosso'!D:XFD,47,0))</f>
        <v/>
      </c>
      <c r="AX94" s="40">
        <f>VLOOKUP(N94,'Apólice Endosso'!D:XFD,30,0)</f>
        <v>5050.3500000000004</v>
      </c>
      <c r="AY94" s="36">
        <v>1809.0308599999998</v>
      </c>
      <c r="AZ94" s="16">
        <v>5050.3500000000004</v>
      </c>
      <c r="BA94" s="16"/>
    </row>
    <row r="95" spans="1:53" x14ac:dyDescent="0.3">
      <c r="A95" t="s">
        <v>85</v>
      </c>
      <c r="B95" s="9">
        <v>46135</v>
      </c>
      <c r="C95">
        <v>0</v>
      </c>
      <c r="D95" t="s">
        <v>84</v>
      </c>
      <c r="E95">
        <v>2103</v>
      </c>
      <c r="F95">
        <v>2103</v>
      </c>
      <c r="G95"/>
      <c r="H95"/>
      <c r="J95" t="s">
        <v>149</v>
      </c>
      <c r="K95" t="s">
        <v>150</v>
      </c>
      <c r="L95" t="s">
        <v>398</v>
      </c>
      <c r="M95" t="s">
        <v>86</v>
      </c>
      <c r="N95" t="s">
        <v>399</v>
      </c>
      <c r="O95" t="s">
        <v>87</v>
      </c>
      <c r="P95" t="s">
        <v>89</v>
      </c>
      <c r="Q95" t="s">
        <v>90</v>
      </c>
      <c r="R95">
        <v>2026</v>
      </c>
      <c r="S95">
        <v>2026</v>
      </c>
      <c r="T95" t="s">
        <v>88</v>
      </c>
      <c r="U95">
        <v>85</v>
      </c>
      <c r="V95">
        <v>84669</v>
      </c>
      <c r="W95">
        <v>152.16</v>
      </c>
      <c r="X95">
        <v>420.86</v>
      </c>
      <c r="Y95">
        <v>0</v>
      </c>
      <c r="Z95">
        <v>65.209999999999994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12700.35</v>
      </c>
      <c r="AG95">
        <v>320000</v>
      </c>
      <c r="AH95">
        <v>150000</v>
      </c>
      <c r="AI95">
        <v>0</v>
      </c>
      <c r="AJ95">
        <v>150000</v>
      </c>
      <c r="AK95">
        <v>10000</v>
      </c>
      <c r="AL95">
        <v>10000</v>
      </c>
      <c r="AM95" s="42">
        <v>46113</v>
      </c>
      <c r="AN95" s="42">
        <v>46447</v>
      </c>
      <c r="AO95">
        <v>0</v>
      </c>
      <c r="AP95">
        <v>0</v>
      </c>
      <c r="AQ95">
        <v>0</v>
      </c>
      <c r="AR95" s="8">
        <f t="shared" si="2"/>
        <v>2391.0700000000002</v>
      </c>
      <c r="AS95" s="38">
        <f t="shared" si="3"/>
        <v>1797.2716762</v>
      </c>
      <c r="AT95" s="39" t="s">
        <v>173</v>
      </c>
      <c r="AU95" s="40">
        <f>VLOOKUP(N95,'Apólice Endosso'!D:XFD,23,0)</f>
        <v>0</v>
      </c>
      <c r="AV95" s="39" t="str">
        <f>VLOOKUP(N95,'Apólice Endosso'!D:XFD,28,0)</f>
        <v>Padrão (100%) sem blindagem - 150k - Contrato 2025</v>
      </c>
      <c r="AW95" s="41" t="str">
        <f>IF(VLOOKUP(N95,'Apólice Endosso'!D:XFD,47,0)=0,"",VLOOKUP(N95,'Apólice Endosso'!D:XFD,47,0))</f>
        <v/>
      </c>
      <c r="AX95" s="40">
        <f>VLOOKUP(N95,'Apólice Endosso'!D:XFD,30,0)</f>
        <v>5050.3500000000004</v>
      </c>
      <c r="AY95" s="36">
        <v>1809.0308599999998</v>
      </c>
      <c r="AZ95" s="16">
        <v>5050.3500000000004</v>
      </c>
      <c r="BA95" s="16"/>
    </row>
    <row r="96" spans="1:53" x14ac:dyDescent="0.3">
      <c r="A96" t="s">
        <v>85</v>
      </c>
      <c r="B96" s="9">
        <v>46135</v>
      </c>
      <c r="C96">
        <v>0</v>
      </c>
      <c r="D96" t="s">
        <v>84</v>
      </c>
      <c r="E96">
        <v>2103</v>
      </c>
      <c r="F96">
        <v>2103</v>
      </c>
      <c r="G96"/>
      <c r="H96"/>
      <c r="J96" t="s">
        <v>400</v>
      </c>
      <c r="K96" t="s">
        <v>401</v>
      </c>
      <c r="L96" t="s">
        <v>402</v>
      </c>
      <c r="M96" t="s">
        <v>86</v>
      </c>
      <c r="N96" t="s">
        <v>403</v>
      </c>
      <c r="O96" t="s">
        <v>87</v>
      </c>
      <c r="P96" t="s">
        <v>91</v>
      </c>
      <c r="Q96" t="s">
        <v>92</v>
      </c>
      <c r="R96">
        <v>2024</v>
      </c>
      <c r="S96">
        <v>2024</v>
      </c>
      <c r="T96" t="s">
        <v>93</v>
      </c>
      <c r="U96">
        <v>85</v>
      </c>
      <c r="V96">
        <v>0</v>
      </c>
      <c r="W96">
        <v>322.58</v>
      </c>
      <c r="X96">
        <v>2037.92</v>
      </c>
      <c r="Y96">
        <v>0</v>
      </c>
      <c r="Z96">
        <v>138.25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320000</v>
      </c>
      <c r="AH96">
        <v>150000</v>
      </c>
      <c r="AI96">
        <v>0</v>
      </c>
      <c r="AJ96">
        <v>150000</v>
      </c>
      <c r="AK96">
        <v>10000</v>
      </c>
      <c r="AL96">
        <v>10000</v>
      </c>
      <c r="AM96" s="42">
        <v>46113</v>
      </c>
      <c r="AN96" s="42">
        <v>46447</v>
      </c>
      <c r="AO96">
        <v>0</v>
      </c>
      <c r="AP96">
        <v>0</v>
      </c>
      <c r="AQ96">
        <v>0</v>
      </c>
      <c r="AR96" s="8">
        <f t="shared" si="2"/>
        <v>5069.13</v>
      </c>
      <c r="AS96" s="38">
        <f t="shared" si="3"/>
        <v>3810.2622558000003</v>
      </c>
      <c r="AT96" s="39" t="s">
        <v>120</v>
      </c>
      <c r="AU96" s="40">
        <f>VLOOKUP(N96,'Apólice Endosso'!D:XFD,23,0)</f>
        <v>0</v>
      </c>
      <c r="AV96" s="39" t="str">
        <f>VLOOKUP(N96,'Apólice Endosso'!D:XFD,28,0)</f>
        <v>Padrão (100%) sem blindagem - 150k - Contrato 2025</v>
      </c>
      <c r="AW96" s="41" t="str">
        <f>IF(VLOOKUP(N96,'Apólice Endosso'!D:XFD,47,0)=0,"",VLOOKUP(N96,'Apólice Endosso'!D:XFD,47,0))</f>
        <v/>
      </c>
      <c r="AX96" s="40">
        <f>VLOOKUP(N96,'Apólice Endosso'!D:XFD,30,0)</f>
        <v>24455.05</v>
      </c>
      <c r="AY96" s="36">
        <v>3651.0381179999995</v>
      </c>
      <c r="AZ96" s="16">
        <v>24455.05</v>
      </c>
      <c r="BA96" s="16"/>
    </row>
    <row r="97" spans="1:53" x14ac:dyDescent="0.3">
      <c r="A97" t="s">
        <v>85</v>
      </c>
      <c r="B97" s="9">
        <v>46135</v>
      </c>
      <c r="C97">
        <v>0</v>
      </c>
      <c r="D97" t="s">
        <v>84</v>
      </c>
      <c r="E97">
        <v>2103</v>
      </c>
      <c r="F97">
        <v>2103</v>
      </c>
      <c r="G97"/>
      <c r="H97"/>
      <c r="J97" t="s">
        <v>149</v>
      </c>
      <c r="K97" t="s">
        <v>150</v>
      </c>
      <c r="L97" t="s">
        <v>404</v>
      </c>
      <c r="M97" t="s">
        <v>86</v>
      </c>
      <c r="N97" t="s">
        <v>405</v>
      </c>
      <c r="O97" t="s">
        <v>87</v>
      </c>
      <c r="P97" t="s">
        <v>89</v>
      </c>
      <c r="Q97" t="s">
        <v>90</v>
      </c>
      <c r="R97">
        <v>2026</v>
      </c>
      <c r="S97">
        <v>2026</v>
      </c>
      <c r="T97" t="s">
        <v>88</v>
      </c>
      <c r="U97">
        <v>85</v>
      </c>
      <c r="V97">
        <v>84669</v>
      </c>
      <c r="W97">
        <v>152.16</v>
      </c>
      <c r="X97">
        <v>420.86</v>
      </c>
      <c r="Y97">
        <v>0</v>
      </c>
      <c r="Z97">
        <v>65.209999999999994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12700.35</v>
      </c>
      <c r="AG97">
        <v>320000</v>
      </c>
      <c r="AH97">
        <v>150000</v>
      </c>
      <c r="AI97">
        <v>0</v>
      </c>
      <c r="AJ97">
        <v>150000</v>
      </c>
      <c r="AK97">
        <v>10000</v>
      </c>
      <c r="AL97">
        <v>10000</v>
      </c>
      <c r="AM97" s="42">
        <v>46113</v>
      </c>
      <c r="AN97" s="42">
        <v>46447</v>
      </c>
      <c r="AO97">
        <v>0</v>
      </c>
      <c r="AP97">
        <v>0</v>
      </c>
      <c r="AQ97">
        <v>0</v>
      </c>
      <c r="AR97" s="8">
        <f t="shared" si="2"/>
        <v>2391.0700000000002</v>
      </c>
      <c r="AS97" s="38">
        <f t="shared" si="3"/>
        <v>1797.2716762</v>
      </c>
      <c r="AT97" s="39" t="s">
        <v>173</v>
      </c>
      <c r="AU97" s="40">
        <f>VLOOKUP(N97,'Apólice Endosso'!D:XFD,23,0)</f>
        <v>0</v>
      </c>
      <c r="AV97" s="39" t="str">
        <f>VLOOKUP(N97,'Apólice Endosso'!D:XFD,28,0)</f>
        <v>Padrão (100%) sem blindagem - 150k - Contrato 2025</v>
      </c>
      <c r="AW97" s="41" t="str">
        <f>IF(VLOOKUP(N97,'Apólice Endosso'!D:XFD,47,0)=0,"",VLOOKUP(N97,'Apólice Endosso'!D:XFD,47,0))</f>
        <v/>
      </c>
      <c r="AX97" s="40">
        <f>VLOOKUP(N97,'Apólice Endosso'!D:XFD,30,0)</f>
        <v>5050.3500000000004</v>
      </c>
      <c r="AY97" s="36">
        <v>1809.0308599999998</v>
      </c>
      <c r="AZ97" s="16">
        <v>5050.3500000000004</v>
      </c>
      <c r="BA97" s="16"/>
    </row>
    <row r="98" spans="1:53" x14ac:dyDescent="0.3">
      <c r="A98" t="s">
        <v>85</v>
      </c>
      <c r="B98" s="9">
        <v>46135</v>
      </c>
      <c r="C98">
        <v>0</v>
      </c>
      <c r="D98" t="s">
        <v>84</v>
      </c>
      <c r="E98">
        <v>2103</v>
      </c>
      <c r="F98">
        <v>2103</v>
      </c>
      <c r="G98"/>
      <c r="H98"/>
      <c r="J98" t="s">
        <v>149</v>
      </c>
      <c r="K98" t="s">
        <v>150</v>
      </c>
      <c r="L98" t="s">
        <v>406</v>
      </c>
      <c r="M98" t="s">
        <v>86</v>
      </c>
      <c r="N98" t="s">
        <v>407</v>
      </c>
      <c r="O98" t="s">
        <v>87</v>
      </c>
      <c r="P98" t="s">
        <v>89</v>
      </c>
      <c r="Q98" t="s">
        <v>90</v>
      </c>
      <c r="R98">
        <v>2026</v>
      </c>
      <c r="S98">
        <v>2026</v>
      </c>
      <c r="T98" t="s">
        <v>88</v>
      </c>
      <c r="U98">
        <v>85</v>
      </c>
      <c r="V98">
        <v>84669</v>
      </c>
      <c r="W98">
        <v>152.16</v>
      </c>
      <c r="X98">
        <v>420.86</v>
      </c>
      <c r="Y98">
        <v>0</v>
      </c>
      <c r="Z98">
        <v>65.209999999999994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12700.35</v>
      </c>
      <c r="AG98">
        <v>320000</v>
      </c>
      <c r="AH98">
        <v>150000</v>
      </c>
      <c r="AI98">
        <v>0</v>
      </c>
      <c r="AJ98">
        <v>150000</v>
      </c>
      <c r="AK98">
        <v>10000</v>
      </c>
      <c r="AL98">
        <v>10000</v>
      </c>
      <c r="AM98" s="42">
        <v>46113</v>
      </c>
      <c r="AN98" s="42">
        <v>46447</v>
      </c>
      <c r="AO98">
        <v>0</v>
      </c>
      <c r="AP98">
        <v>0</v>
      </c>
      <c r="AQ98">
        <v>0</v>
      </c>
      <c r="AR98" s="8">
        <f t="shared" si="2"/>
        <v>2391.0700000000002</v>
      </c>
      <c r="AS98" s="38">
        <f t="shared" si="3"/>
        <v>1797.2716762</v>
      </c>
      <c r="AT98" s="39" t="s">
        <v>173</v>
      </c>
      <c r="AU98" s="40">
        <f>VLOOKUP(N98,'Apólice Endosso'!D:XFD,23,0)</f>
        <v>0</v>
      </c>
      <c r="AV98" s="39" t="str">
        <f>VLOOKUP(N98,'Apólice Endosso'!D:XFD,28,0)</f>
        <v>Padrão (100%) sem blindagem - 150k - Contrato 2025</v>
      </c>
      <c r="AW98" s="41" t="str">
        <f>IF(VLOOKUP(N98,'Apólice Endosso'!D:XFD,47,0)=0,"",VLOOKUP(N98,'Apólice Endosso'!D:XFD,47,0))</f>
        <v/>
      </c>
      <c r="AX98" s="40">
        <f>VLOOKUP(N98,'Apólice Endosso'!D:XFD,30,0)</f>
        <v>5050.3500000000004</v>
      </c>
      <c r="AY98" s="36">
        <v>1809.0308599999998</v>
      </c>
      <c r="AZ98" s="16">
        <v>5050.3500000000004</v>
      </c>
      <c r="BA98" s="16"/>
    </row>
    <row r="99" spans="1:53" x14ac:dyDescent="0.3">
      <c r="A99" t="s">
        <v>85</v>
      </c>
      <c r="B99" s="9">
        <v>46135</v>
      </c>
      <c r="C99">
        <v>0</v>
      </c>
      <c r="D99" t="s">
        <v>84</v>
      </c>
      <c r="E99">
        <v>2103</v>
      </c>
      <c r="F99">
        <v>2103</v>
      </c>
      <c r="G99"/>
      <c r="H99"/>
      <c r="J99" t="s">
        <v>149</v>
      </c>
      <c r="K99" t="s">
        <v>150</v>
      </c>
      <c r="L99" t="s">
        <v>408</v>
      </c>
      <c r="M99" t="s">
        <v>86</v>
      </c>
      <c r="N99" t="s">
        <v>409</v>
      </c>
      <c r="O99" t="s">
        <v>87</v>
      </c>
      <c r="P99" t="s">
        <v>89</v>
      </c>
      <c r="Q99" t="s">
        <v>90</v>
      </c>
      <c r="R99">
        <v>2026</v>
      </c>
      <c r="S99">
        <v>2026</v>
      </c>
      <c r="T99" t="s">
        <v>88</v>
      </c>
      <c r="U99">
        <v>85</v>
      </c>
      <c r="V99">
        <v>84669</v>
      </c>
      <c r="W99">
        <v>152.16</v>
      </c>
      <c r="X99">
        <v>420.86</v>
      </c>
      <c r="Y99">
        <v>0</v>
      </c>
      <c r="Z99">
        <v>65.209999999999994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12700.35</v>
      </c>
      <c r="AG99">
        <v>320000</v>
      </c>
      <c r="AH99">
        <v>150000</v>
      </c>
      <c r="AI99">
        <v>0</v>
      </c>
      <c r="AJ99">
        <v>150000</v>
      </c>
      <c r="AK99">
        <v>10000</v>
      </c>
      <c r="AL99">
        <v>10000</v>
      </c>
      <c r="AM99" s="42">
        <v>46113</v>
      </c>
      <c r="AN99" s="42">
        <v>46447</v>
      </c>
      <c r="AO99">
        <v>0</v>
      </c>
      <c r="AP99">
        <v>0</v>
      </c>
      <c r="AQ99">
        <v>0</v>
      </c>
      <c r="AR99" s="8">
        <f t="shared" si="2"/>
        <v>2391.0700000000002</v>
      </c>
      <c r="AS99" s="38">
        <f t="shared" si="3"/>
        <v>1797.2716762</v>
      </c>
      <c r="AT99" s="39" t="s">
        <v>173</v>
      </c>
      <c r="AU99" s="40">
        <f>VLOOKUP(N99,'Apólice Endosso'!D:XFD,23,0)</f>
        <v>0</v>
      </c>
      <c r="AV99" s="39" t="str">
        <f>VLOOKUP(N99,'Apólice Endosso'!D:XFD,28,0)</f>
        <v>Padrão (100%) sem blindagem - 150k - Contrato 2025</v>
      </c>
      <c r="AW99" s="41" t="str">
        <f>IF(VLOOKUP(N99,'Apólice Endosso'!D:XFD,47,0)=0,"",VLOOKUP(N99,'Apólice Endosso'!D:XFD,47,0))</f>
        <v/>
      </c>
      <c r="AX99" s="40">
        <f>VLOOKUP(N99,'Apólice Endosso'!D:XFD,30,0)</f>
        <v>5050.3500000000004</v>
      </c>
      <c r="AY99" s="36">
        <v>1809.0308599999998</v>
      </c>
      <c r="AZ99" s="16">
        <v>5050.3500000000004</v>
      </c>
      <c r="BA99" s="16"/>
    </row>
    <row r="100" spans="1:53" x14ac:dyDescent="0.3">
      <c r="A100" t="s">
        <v>85</v>
      </c>
      <c r="B100" s="9">
        <v>46135</v>
      </c>
      <c r="C100">
        <v>0</v>
      </c>
      <c r="D100" t="s">
        <v>84</v>
      </c>
      <c r="E100">
        <v>2103</v>
      </c>
      <c r="F100">
        <v>2103</v>
      </c>
      <c r="G100"/>
      <c r="H100"/>
      <c r="J100" t="s">
        <v>149</v>
      </c>
      <c r="K100" t="s">
        <v>150</v>
      </c>
      <c r="L100" t="s">
        <v>410</v>
      </c>
      <c r="M100" t="s">
        <v>86</v>
      </c>
      <c r="N100" t="s">
        <v>411</v>
      </c>
      <c r="O100" t="s">
        <v>87</v>
      </c>
      <c r="P100" t="s">
        <v>89</v>
      </c>
      <c r="Q100" t="s">
        <v>90</v>
      </c>
      <c r="R100">
        <v>2026</v>
      </c>
      <c r="S100">
        <v>2026</v>
      </c>
      <c r="T100" t="s">
        <v>88</v>
      </c>
      <c r="U100">
        <v>85</v>
      </c>
      <c r="V100">
        <v>84669</v>
      </c>
      <c r="W100">
        <v>152.16</v>
      </c>
      <c r="X100">
        <v>420.86</v>
      </c>
      <c r="Y100">
        <v>0</v>
      </c>
      <c r="Z100">
        <v>65.209999999999994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12700.35</v>
      </c>
      <c r="AG100">
        <v>320000</v>
      </c>
      <c r="AH100">
        <v>150000</v>
      </c>
      <c r="AI100">
        <v>0</v>
      </c>
      <c r="AJ100">
        <v>150000</v>
      </c>
      <c r="AK100">
        <v>10000</v>
      </c>
      <c r="AL100">
        <v>10000</v>
      </c>
      <c r="AM100" s="42">
        <v>46113</v>
      </c>
      <c r="AN100" s="42">
        <v>46447</v>
      </c>
      <c r="AO100">
        <v>0</v>
      </c>
      <c r="AP100">
        <v>0</v>
      </c>
      <c r="AQ100">
        <v>0</v>
      </c>
      <c r="AR100" s="8">
        <f t="shared" si="2"/>
        <v>2391.0700000000002</v>
      </c>
      <c r="AS100" s="38">
        <f t="shared" si="3"/>
        <v>1797.2716762</v>
      </c>
      <c r="AT100" s="39" t="s">
        <v>173</v>
      </c>
      <c r="AU100" s="40">
        <f>VLOOKUP(N100,'Apólice Endosso'!D:XFD,23,0)</f>
        <v>0</v>
      </c>
      <c r="AV100" s="39" t="str">
        <f>VLOOKUP(N100,'Apólice Endosso'!D:XFD,28,0)</f>
        <v>Padrão (100%) sem blindagem - 150k - Contrato 2025</v>
      </c>
      <c r="AW100" s="41" t="str">
        <f>IF(VLOOKUP(N100,'Apólice Endosso'!D:XFD,47,0)=0,"",VLOOKUP(N100,'Apólice Endosso'!D:XFD,47,0))</f>
        <v/>
      </c>
      <c r="AX100" s="40">
        <f>VLOOKUP(N100,'Apólice Endosso'!D:XFD,30,0)</f>
        <v>5050.3500000000004</v>
      </c>
      <c r="AY100" s="36">
        <v>1809.0308599999998</v>
      </c>
      <c r="AZ100" s="16">
        <v>5050.3500000000004</v>
      </c>
      <c r="BA100" s="16"/>
    </row>
    <row r="101" spans="1:53" x14ac:dyDescent="0.3">
      <c r="A101" t="s">
        <v>85</v>
      </c>
      <c r="B101" s="9">
        <v>46135</v>
      </c>
      <c r="C101">
        <v>0</v>
      </c>
      <c r="D101" t="s">
        <v>84</v>
      </c>
      <c r="E101">
        <v>2103</v>
      </c>
      <c r="F101">
        <v>2103</v>
      </c>
      <c r="G101"/>
      <c r="H101"/>
      <c r="J101" t="s">
        <v>149</v>
      </c>
      <c r="K101" t="s">
        <v>150</v>
      </c>
      <c r="L101" t="s">
        <v>412</v>
      </c>
      <c r="M101" t="s">
        <v>86</v>
      </c>
      <c r="N101" t="s">
        <v>413</v>
      </c>
      <c r="O101" t="s">
        <v>87</v>
      </c>
      <c r="P101" t="s">
        <v>89</v>
      </c>
      <c r="Q101" t="s">
        <v>90</v>
      </c>
      <c r="R101">
        <v>2026</v>
      </c>
      <c r="S101">
        <v>2026</v>
      </c>
      <c r="T101" t="s">
        <v>88</v>
      </c>
      <c r="U101">
        <v>85</v>
      </c>
      <c r="V101">
        <v>84669</v>
      </c>
      <c r="W101">
        <v>152.16</v>
      </c>
      <c r="X101">
        <v>420.86</v>
      </c>
      <c r="Y101">
        <v>0</v>
      </c>
      <c r="Z101">
        <v>65.209999999999994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12700.35</v>
      </c>
      <c r="AG101">
        <v>320000</v>
      </c>
      <c r="AH101">
        <v>150000</v>
      </c>
      <c r="AI101">
        <v>0</v>
      </c>
      <c r="AJ101">
        <v>150000</v>
      </c>
      <c r="AK101">
        <v>10000</v>
      </c>
      <c r="AL101">
        <v>10000</v>
      </c>
      <c r="AM101" s="42">
        <v>46113</v>
      </c>
      <c r="AN101" s="42">
        <v>46447</v>
      </c>
      <c r="AO101">
        <v>0</v>
      </c>
      <c r="AP101">
        <v>0</v>
      </c>
      <c r="AQ101">
        <v>0</v>
      </c>
      <c r="AR101" s="8">
        <f t="shared" si="2"/>
        <v>2391.0700000000002</v>
      </c>
      <c r="AS101" s="38">
        <f t="shared" si="3"/>
        <v>1797.2716762</v>
      </c>
      <c r="AT101" s="39" t="s">
        <v>173</v>
      </c>
      <c r="AU101" s="40">
        <f>VLOOKUP(N101,'Apólice Endosso'!D:XFD,23,0)</f>
        <v>0</v>
      </c>
      <c r="AV101" s="39" t="str">
        <f>VLOOKUP(N101,'Apólice Endosso'!D:XFD,28,0)</f>
        <v>Padrão (100%) sem blindagem - 150k - Contrato 2025</v>
      </c>
      <c r="AW101" s="41" t="str">
        <f>IF(VLOOKUP(N101,'Apólice Endosso'!D:XFD,47,0)=0,"",VLOOKUP(N101,'Apólice Endosso'!D:XFD,47,0))</f>
        <v/>
      </c>
      <c r="AX101" s="40">
        <f>VLOOKUP(N101,'Apólice Endosso'!D:XFD,30,0)</f>
        <v>5050.3500000000004</v>
      </c>
      <c r="AY101" s="36">
        <v>1809.0308599999998</v>
      </c>
      <c r="AZ101" s="16">
        <v>5050.3500000000004</v>
      </c>
      <c r="BA101" s="16"/>
    </row>
    <row r="102" spans="1:53" x14ac:dyDescent="0.3">
      <c r="A102" t="s">
        <v>85</v>
      </c>
      <c r="B102" s="9">
        <v>46135</v>
      </c>
      <c r="C102">
        <v>0</v>
      </c>
      <c r="D102" t="s">
        <v>84</v>
      </c>
      <c r="E102">
        <v>2103</v>
      </c>
      <c r="F102">
        <v>2103</v>
      </c>
      <c r="G102"/>
      <c r="H102"/>
      <c r="J102" t="s">
        <v>149</v>
      </c>
      <c r="K102" t="s">
        <v>150</v>
      </c>
      <c r="L102" t="s">
        <v>414</v>
      </c>
      <c r="M102" t="s">
        <v>86</v>
      </c>
      <c r="N102" t="s">
        <v>415</v>
      </c>
      <c r="O102" t="s">
        <v>87</v>
      </c>
      <c r="P102" t="s">
        <v>89</v>
      </c>
      <c r="Q102" t="s">
        <v>90</v>
      </c>
      <c r="R102">
        <v>2026</v>
      </c>
      <c r="S102">
        <v>2026</v>
      </c>
      <c r="T102" t="s">
        <v>88</v>
      </c>
      <c r="U102">
        <v>85</v>
      </c>
      <c r="V102">
        <v>84669</v>
      </c>
      <c r="W102">
        <v>152.16</v>
      </c>
      <c r="X102">
        <v>420.86</v>
      </c>
      <c r="Y102">
        <v>0</v>
      </c>
      <c r="Z102">
        <v>65.209999999999994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12700.35</v>
      </c>
      <c r="AG102">
        <v>320000</v>
      </c>
      <c r="AH102">
        <v>150000</v>
      </c>
      <c r="AI102">
        <v>0</v>
      </c>
      <c r="AJ102">
        <v>150000</v>
      </c>
      <c r="AK102">
        <v>10000</v>
      </c>
      <c r="AL102">
        <v>10000</v>
      </c>
      <c r="AM102" s="42">
        <v>46113</v>
      </c>
      <c r="AN102" s="42">
        <v>46447</v>
      </c>
      <c r="AO102">
        <v>0</v>
      </c>
      <c r="AP102">
        <v>0</v>
      </c>
      <c r="AQ102">
        <v>0</v>
      </c>
      <c r="AR102" s="8">
        <f t="shared" si="2"/>
        <v>2391.0700000000002</v>
      </c>
      <c r="AS102" s="38">
        <f t="shared" si="3"/>
        <v>1797.2716762</v>
      </c>
      <c r="AT102" s="39" t="s">
        <v>173</v>
      </c>
      <c r="AU102" s="40">
        <f>VLOOKUP(N102,'Apólice Endosso'!D:XFD,23,0)</f>
        <v>0</v>
      </c>
      <c r="AV102" s="39" t="str">
        <f>VLOOKUP(N102,'Apólice Endosso'!D:XFD,28,0)</f>
        <v>Padrão (100%) sem blindagem - 150k - Contrato 2025</v>
      </c>
      <c r="AW102" s="41" t="str">
        <f>IF(VLOOKUP(N102,'Apólice Endosso'!D:XFD,47,0)=0,"",VLOOKUP(N102,'Apólice Endosso'!D:XFD,47,0))</f>
        <v/>
      </c>
      <c r="AX102" s="40">
        <f>VLOOKUP(N102,'Apólice Endosso'!D:XFD,30,0)</f>
        <v>5050.3500000000004</v>
      </c>
      <c r="AY102" s="36">
        <v>1809.0308599999998</v>
      </c>
      <c r="AZ102" s="16">
        <v>5050.3500000000004</v>
      </c>
      <c r="BA102" s="16"/>
    </row>
    <row r="103" spans="1:53" x14ac:dyDescent="0.3">
      <c r="A103" t="s">
        <v>85</v>
      </c>
      <c r="B103" s="9">
        <v>46136</v>
      </c>
      <c r="C103">
        <v>0</v>
      </c>
      <c r="D103" t="s">
        <v>84</v>
      </c>
      <c r="E103">
        <v>2103</v>
      </c>
      <c r="F103">
        <v>2103</v>
      </c>
      <c r="G103"/>
      <c r="H103"/>
      <c r="J103" t="s">
        <v>416</v>
      </c>
      <c r="K103" t="s">
        <v>417</v>
      </c>
      <c r="L103" t="s">
        <v>418</v>
      </c>
      <c r="M103" t="s">
        <v>86</v>
      </c>
      <c r="N103" t="s">
        <v>419</v>
      </c>
      <c r="O103" t="s">
        <v>87</v>
      </c>
      <c r="P103" t="s">
        <v>89</v>
      </c>
      <c r="Q103" t="s">
        <v>90</v>
      </c>
      <c r="R103">
        <v>2026</v>
      </c>
      <c r="S103">
        <v>2026</v>
      </c>
      <c r="T103" t="s">
        <v>88</v>
      </c>
      <c r="U103">
        <v>85</v>
      </c>
      <c r="V103">
        <v>84669</v>
      </c>
      <c r="W103">
        <v>152.16</v>
      </c>
      <c r="X103">
        <v>420.86</v>
      </c>
      <c r="Y103">
        <v>0</v>
      </c>
      <c r="Z103">
        <v>65.209999999999994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12700.35</v>
      </c>
      <c r="AG103">
        <v>320000</v>
      </c>
      <c r="AH103">
        <v>150000</v>
      </c>
      <c r="AI103">
        <v>0</v>
      </c>
      <c r="AJ103">
        <v>150000</v>
      </c>
      <c r="AK103">
        <v>10000</v>
      </c>
      <c r="AL103">
        <v>10000</v>
      </c>
      <c r="AM103" s="42">
        <v>46113</v>
      </c>
      <c r="AN103" s="42">
        <v>46447</v>
      </c>
      <c r="AO103">
        <v>0</v>
      </c>
      <c r="AP103">
        <v>0</v>
      </c>
      <c r="AQ103">
        <v>0</v>
      </c>
      <c r="AR103" s="8">
        <f t="shared" si="2"/>
        <v>2391.0700000000002</v>
      </c>
      <c r="AS103" s="38">
        <f t="shared" si="3"/>
        <v>1797.2716762</v>
      </c>
      <c r="AT103" s="39" t="s">
        <v>864</v>
      </c>
      <c r="AU103" s="40">
        <f>VLOOKUP(N103,'Apólice Endosso'!D:XFD,23,0)</f>
        <v>0</v>
      </c>
      <c r="AV103" s="39" t="str">
        <f>VLOOKUP(N103,'Apólice Endosso'!D:XFD,28,0)</f>
        <v>Padrão (100%) sem blindagem - 150k - Contrato 2025</v>
      </c>
      <c r="AW103" s="41" t="str">
        <f>IF(VLOOKUP(N103,'Apólice Endosso'!D:XFD,47,0)=0,"",VLOOKUP(N103,'Apólice Endosso'!D:XFD,47,0))</f>
        <v/>
      </c>
      <c r="AX103" s="40">
        <f>VLOOKUP(N103,'Apólice Endosso'!D:XFD,30,0)</f>
        <v>5050.3500000000004</v>
      </c>
      <c r="AY103" s="36">
        <v>1809.0308599999998</v>
      </c>
      <c r="AZ103" s="16">
        <v>5050.3500000000004</v>
      </c>
      <c r="BA103" s="16"/>
    </row>
    <row r="104" spans="1:53" x14ac:dyDescent="0.3">
      <c r="A104" t="s">
        <v>85</v>
      </c>
      <c r="B104" s="9">
        <v>46136</v>
      </c>
      <c r="C104">
        <v>0</v>
      </c>
      <c r="D104" t="s">
        <v>84</v>
      </c>
      <c r="E104">
        <v>2103</v>
      </c>
      <c r="F104">
        <v>2103</v>
      </c>
      <c r="G104"/>
      <c r="H104"/>
      <c r="J104" t="s">
        <v>416</v>
      </c>
      <c r="K104" t="s">
        <v>417</v>
      </c>
      <c r="L104" t="s">
        <v>420</v>
      </c>
      <c r="M104" t="s">
        <v>86</v>
      </c>
      <c r="N104" t="s">
        <v>421</v>
      </c>
      <c r="O104" t="s">
        <v>87</v>
      </c>
      <c r="P104" t="s">
        <v>89</v>
      </c>
      <c r="Q104" t="s">
        <v>90</v>
      </c>
      <c r="R104">
        <v>2026</v>
      </c>
      <c r="S104">
        <v>2026</v>
      </c>
      <c r="T104" t="s">
        <v>88</v>
      </c>
      <c r="U104">
        <v>85</v>
      </c>
      <c r="V104">
        <v>84669</v>
      </c>
      <c r="W104">
        <v>152.16</v>
      </c>
      <c r="X104">
        <v>420.86</v>
      </c>
      <c r="Y104">
        <v>0</v>
      </c>
      <c r="Z104">
        <v>65.209999999999994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12700.35</v>
      </c>
      <c r="AG104">
        <v>320000</v>
      </c>
      <c r="AH104">
        <v>150000</v>
      </c>
      <c r="AI104">
        <v>0</v>
      </c>
      <c r="AJ104">
        <v>150000</v>
      </c>
      <c r="AK104">
        <v>10000</v>
      </c>
      <c r="AL104">
        <v>10000</v>
      </c>
      <c r="AM104" s="42">
        <v>46113</v>
      </c>
      <c r="AN104" s="42">
        <v>46447</v>
      </c>
      <c r="AO104">
        <v>0</v>
      </c>
      <c r="AP104">
        <v>0</v>
      </c>
      <c r="AQ104">
        <v>0</v>
      </c>
      <c r="AR104" s="8">
        <f t="shared" si="2"/>
        <v>2391.0700000000002</v>
      </c>
      <c r="AS104" s="38">
        <f t="shared" si="3"/>
        <v>1797.2716762</v>
      </c>
      <c r="AT104" s="39" t="s">
        <v>864</v>
      </c>
      <c r="AU104" s="40">
        <f>VLOOKUP(N104,'Apólice Endosso'!D:XFD,23,0)</f>
        <v>0</v>
      </c>
      <c r="AV104" s="39" t="str">
        <f>VLOOKUP(N104,'Apólice Endosso'!D:XFD,28,0)</f>
        <v>Padrão (100%) sem blindagem - 150k - Contrato 2025</v>
      </c>
      <c r="AW104" s="41" t="str">
        <f>IF(VLOOKUP(N104,'Apólice Endosso'!D:XFD,47,0)=0,"",VLOOKUP(N104,'Apólice Endosso'!D:XFD,47,0))</f>
        <v/>
      </c>
      <c r="AX104" s="40">
        <f>VLOOKUP(N104,'Apólice Endosso'!D:XFD,30,0)</f>
        <v>5050.3500000000004</v>
      </c>
      <c r="AY104" s="36">
        <v>1809.0308599999998</v>
      </c>
      <c r="AZ104" s="16">
        <v>5050.3500000000004</v>
      </c>
      <c r="BA104" s="16"/>
    </row>
    <row r="105" spans="1:53" x14ac:dyDescent="0.3">
      <c r="A105" t="s">
        <v>85</v>
      </c>
      <c r="B105" s="9">
        <v>46136</v>
      </c>
      <c r="C105">
        <v>0</v>
      </c>
      <c r="D105" t="s">
        <v>84</v>
      </c>
      <c r="E105">
        <v>2103</v>
      </c>
      <c r="F105">
        <v>2103</v>
      </c>
      <c r="G105"/>
      <c r="H105"/>
      <c r="J105" t="s">
        <v>416</v>
      </c>
      <c r="K105" t="s">
        <v>417</v>
      </c>
      <c r="L105" t="s">
        <v>422</v>
      </c>
      <c r="M105" t="s">
        <v>86</v>
      </c>
      <c r="N105" t="s">
        <v>423</v>
      </c>
      <c r="O105" t="s">
        <v>87</v>
      </c>
      <c r="P105" t="s">
        <v>89</v>
      </c>
      <c r="Q105" t="s">
        <v>90</v>
      </c>
      <c r="R105">
        <v>2026</v>
      </c>
      <c r="S105">
        <v>2026</v>
      </c>
      <c r="T105" t="s">
        <v>88</v>
      </c>
      <c r="U105">
        <v>85</v>
      </c>
      <c r="V105">
        <v>84669</v>
      </c>
      <c r="W105">
        <v>152.16</v>
      </c>
      <c r="X105">
        <v>420.86</v>
      </c>
      <c r="Y105">
        <v>0</v>
      </c>
      <c r="Z105">
        <v>65.209999999999994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12700.35</v>
      </c>
      <c r="AG105">
        <v>320000</v>
      </c>
      <c r="AH105">
        <v>150000</v>
      </c>
      <c r="AI105">
        <v>0</v>
      </c>
      <c r="AJ105">
        <v>150000</v>
      </c>
      <c r="AK105">
        <v>10000</v>
      </c>
      <c r="AL105">
        <v>10000</v>
      </c>
      <c r="AM105" s="42">
        <v>46113</v>
      </c>
      <c r="AN105" s="42">
        <v>46447</v>
      </c>
      <c r="AO105">
        <v>0</v>
      </c>
      <c r="AP105">
        <v>0</v>
      </c>
      <c r="AQ105">
        <v>0</v>
      </c>
      <c r="AR105" s="8">
        <f t="shared" si="2"/>
        <v>2391.0700000000002</v>
      </c>
      <c r="AS105" s="38">
        <f t="shared" si="3"/>
        <v>1797.2716762</v>
      </c>
      <c r="AT105" s="39" t="s">
        <v>864</v>
      </c>
      <c r="AU105" s="40">
        <f>VLOOKUP(N105,'Apólice Endosso'!D:XFD,23,0)</f>
        <v>0</v>
      </c>
      <c r="AV105" s="39" t="str">
        <f>VLOOKUP(N105,'Apólice Endosso'!D:XFD,28,0)</f>
        <v>Padrão (100%) sem blindagem - 150k - Contrato 2025</v>
      </c>
      <c r="AW105" s="41" t="str">
        <f>IF(VLOOKUP(N105,'Apólice Endosso'!D:XFD,47,0)=0,"",VLOOKUP(N105,'Apólice Endosso'!D:XFD,47,0))</f>
        <v/>
      </c>
      <c r="AX105" s="40">
        <f>VLOOKUP(N105,'Apólice Endosso'!D:XFD,30,0)</f>
        <v>5050.3500000000004</v>
      </c>
      <c r="AY105" s="36">
        <v>1809.0308599999998</v>
      </c>
      <c r="AZ105" s="16">
        <v>5050.3500000000004</v>
      </c>
      <c r="BA105" s="16"/>
    </row>
    <row r="106" spans="1:53" x14ac:dyDescent="0.3">
      <c r="A106" t="s">
        <v>85</v>
      </c>
      <c r="B106" s="9">
        <v>46136</v>
      </c>
      <c r="C106">
        <v>0</v>
      </c>
      <c r="D106" t="s">
        <v>84</v>
      </c>
      <c r="E106">
        <v>2103</v>
      </c>
      <c r="F106">
        <v>2103</v>
      </c>
      <c r="G106"/>
      <c r="H106"/>
      <c r="J106" t="s">
        <v>416</v>
      </c>
      <c r="K106" t="s">
        <v>417</v>
      </c>
      <c r="L106" t="s">
        <v>424</v>
      </c>
      <c r="M106" t="s">
        <v>86</v>
      </c>
      <c r="N106" t="s">
        <v>425</v>
      </c>
      <c r="O106" t="s">
        <v>87</v>
      </c>
      <c r="P106" t="s">
        <v>89</v>
      </c>
      <c r="Q106" t="s">
        <v>90</v>
      </c>
      <c r="R106">
        <v>2026</v>
      </c>
      <c r="S106">
        <v>2026</v>
      </c>
      <c r="T106" t="s">
        <v>88</v>
      </c>
      <c r="U106">
        <v>85</v>
      </c>
      <c r="V106">
        <v>84669</v>
      </c>
      <c r="W106">
        <v>152.16</v>
      </c>
      <c r="X106">
        <v>420.86</v>
      </c>
      <c r="Y106">
        <v>0</v>
      </c>
      <c r="Z106">
        <v>65.209999999999994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12700.35</v>
      </c>
      <c r="AG106">
        <v>320000</v>
      </c>
      <c r="AH106">
        <v>150000</v>
      </c>
      <c r="AI106">
        <v>0</v>
      </c>
      <c r="AJ106">
        <v>150000</v>
      </c>
      <c r="AK106">
        <v>10000</v>
      </c>
      <c r="AL106">
        <v>10000</v>
      </c>
      <c r="AM106" s="42">
        <v>46113</v>
      </c>
      <c r="AN106" s="42">
        <v>46447</v>
      </c>
      <c r="AO106">
        <v>0</v>
      </c>
      <c r="AP106">
        <v>0</v>
      </c>
      <c r="AQ106">
        <v>0</v>
      </c>
      <c r="AR106" s="8">
        <f t="shared" si="2"/>
        <v>2391.0700000000002</v>
      </c>
      <c r="AS106" s="38">
        <f t="shared" si="3"/>
        <v>1797.2716762</v>
      </c>
      <c r="AT106" s="39" t="s">
        <v>864</v>
      </c>
      <c r="AU106" s="40">
        <f>VLOOKUP(N106,'Apólice Endosso'!D:XFD,23,0)</f>
        <v>0</v>
      </c>
      <c r="AV106" s="39" t="str">
        <f>VLOOKUP(N106,'Apólice Endosso'!D:XFD,28,0)</f>
        <v>Padrão (100%) sem blindagem - 150k - Contrato 2025</v>
      </c>
      <c r="AW106" s="41" t="str">
        <f>IF(VLOOKUP(N106,'Apólice Endosso'!D:XFD,47,0)=0,"",VLOOKUP(N106,'Apólice Endosso'!D:XFD,47,0))</f>
        <v/>
      </c>
      <c r="AX106" s="40">
        <f>VLOOKUP(N106,'Apólice Endosso'!D:XFD,30,0)</f>
        <v>5050.3500000000004</v>
      </c>
      <c r="AY106" s="36">
        <v>1809.0308599999998</v>
      </c>
      <c r="AZ106" s="16">
        <v>5050.3500000000004</v>
      </c>
      <c r="BA106" s="16"/>
    </row>
    <row r="107" spans="1:53" x14ac:dyDescent="0.3">
      <c r="A107" t="s">
        <v>85</v>
      </c>
      <c r="B107" s="9">
        <v>46136</v>
      </c>
      <c r="C107">
        <v>0</v>
      </c>
      <c r="D107" t="s">
        <v>84</v>
      </c>
      <c r="E107">
        <v>2103</v>
      </c>
      <c r="F107">
        <v>2103</v>
      </c>
      <c r="G107"/>
      <c r="H107"/>
      <c r="J107" t="s">
        <v>416</v>
      </c>
      <c r="K107" t="s">
        <v>417</v>
      </c>
      <c r="L107" t="s">
        <v>426</v>
      </c>
      <c r="M107" t="s">
        <v>86</v>
      </c>
      <c r="N107" t="s">
        <v>427</v>
      </c>
      <c r="O107" t="s">
        <v>87</v>
      </c>
      <c r="P107" t="s">
        <v>89</v>
      </c>
      <c r="Q107" t="s">
        <v>90</v>
      </c>
      <c r="R107">
        <v>2026</v>
      </c>
      <c r="S107">
        <v>2026</v>
      </c>
      <c r="T107" t="s">
        <v>88</v>
      </c>
      <c r="U107">
        <v>85</v>
      </c>
      <c r="V107">
        <v>84669</v>
      </c>
      <c r="W107">
        <v>152.16</v>
      </c>
      <c r="X107">
        <v>420.86</v>
      </c>
      <c r="Y107">
        <v>0</v>
      </c>
      <c r="Z107">
        <v>65.209999999999994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12700.35</v>
      </c>
      <c r="AG107">
        <v>320000</v>
      </c>
      <c r="AH107">
        <v>150000</v>
      </c>
      <c r="AI107">
        <v>0</v>
      </c>
      <c r="AJ107">
        <v>150000</v>
      </c>
      <c r="AK107">
        <v>10000</v>
      </c>
      <c r="AL107">
        <v>10000</v>
      </c>
      <c r="AM107" s="42">
        <v>46113</v>
      </c>
      <c r="AN107" s="42">
        <v>46447</v>
      </c>
      <c r="AO107">
        <v>0</v>
      </c>
      <c r="AP107">
        <v>0</v>
      </c>
      <c r="AQ107">
        <v>0</v>
      </c>
      <c r="AR107" s="8">
        <f t="shared" si="2"/>
        <v>2391.0700000000002</v>
      </c>
      <c r="AS107" s="38">
        <f t="shared" si="3"/>
        <v>1797.2716762</v>
      </c>
      <c r="AT107" s="39" t="s">
        <v>864</v>
      </c>
      <c r="AU107" s="40">
        <f>VLOOKUP(N107,'Apólice Endosso'!D:XFD,23,0)</f>
        <v>0</v>
      </c>
      <c r="AV107" s="39" t="str">
        <f>VLOOKUP(N107,'Apólice Endosso'!D:XFD,28,0)</f>
        <v>Padrão (100%) sem blindagem - 150k - Contrato 2025</v>
      </c>
      <c r="AW107" s="41" t="str">
        <f>IF(VLOOKUP(N107,'Apólice Endosso'!D:XFD,47,0)=0,"",VLOOKUP(N107,'Apólice Endosso'!D:XFD,47,0))</f>
        <v/>
      </c>
      <c r="AX107" s="40">
        <f>VLOOKUP(N107,'Apólice Endosso'!D:XFD,30,0)</f>
        <v>5050.3500000000004</v>
      </c>
      <c r="AY107" s="36">
        <v>1809.0308599999998</v>
      </c>
      <c r="AZ107" s="16">
        <v>5050.3500000000004</v>
      </c>
      <c r="BA107" s="16"/>
    </row>
    <row r="108" spans="1:53" x14ac:dyDescent="0.3">
      <c r="A108" t="s">
        <v>85</v>
      </c>
      <c r="B108" s="9">
        <v>46136</v>
      </c>
      <c r="C108">
        <v>0</v>
      </c>
      <c r="D108" t="s">
        <v>84</v>
      </c>
      <c r="E108">
        <v>2103</v>
      </c>
      <c r="F108">
        <v>2103</v>
      </c>
      <c r="G108"/>
      <c r="H108"/>
      <c r="J108" t="s">
        <v>416</v>
      </c>
      <c r="K108" t="s">
        <v>417</v>
      </c>
      <c r="L108" t="s">
        <v>428</v>
      </c>
      <c r="M108" t="s">
        <v>86</v>
      </c>
      <c r="N108" t="s">
        <v>429</v>
      </c>
      <c r="O108" t="s">
        <v>87</v>
      </c>
      <c r="P108" t="s">
        <v>89</v>
      </c>
      <c r="Q108" t="s">
        <v>90</v>
      </c>
      <c r="R108">
        <v>2026</v>
      </c>
      <c r="S108">
        <v>2026</v>
      </c>
      <c r="T108" t="s">
        <v>88</v>
      </c>
      <c r="U108">
        <v>85</v>
      </c>
      <c r="V108">
        <v>84669</v>
      </c>
      <c r="W108">
        <v>152.16</v>
      </c>
      <c r="X108">
        <v>420.86</v>
      </c>
      <c r="Y108">
        <v>0</v>
      </c>
      <c r="Z108">
        <v>65.209999999999994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12700.35</v>
      </c>
      <c r="AG108">
        <v>320000</v>
      </c>
      <c r="AH108">
        <v>150000</v>
      </c>
      <c r="AI108">
        <v>0</v>
      </c>
      <c r="AJ108">
        <v>150000</v>
      </c>
      <c r="AK108">
        <v>10000</v>
      </c>
      <c r="AL108">
        <v>10000</v>
      </c>
      <c r="AM108" s="42">
        <v>46113</v>
      </c>
      <c r="AN108" s="42">
        <v>46447</v>
      </c>
      <c r="AO108">
        <v>0</v>
      </c>
      <c r="AP108">
        <v>0</v>
      </c>
      <c r="AQ108">
        <v>0</v>
      </c>
      <c r="AR108" s="8">
        <f t="shared" si="2"/>
        <v>2391.0700000000002</v>
      </c>
      <c r="AS108" s="38">
        <f t="shared" si="3"/>
        <v>1797.2716762</v>
      </c>
      <c r="AT108" s="39" t="s">
        <v>864</v>
      </c>
      <c r="AU108" s="40">
        <f>VLOOKUP(N108,'Apólice Endosso'!D:XFD,23,0)</f>
        <v>0</v>
      </c>
      <c r="AV108" s="39" t="str">
        <f>VLOOKUP(N108,'Apólice Endosso'!D:XFD,28,0)</f>
        <v>Padrão (100%) sem blindagem - 150k - Contrato 2025</v>
      </c>
      <c r="AW108" s="41" t="str">
        <f>IF(VLOOKUP(N108,'Apólice Endosso'!D:XFD,47,0)=0,"",VLOOKUP(N108,'Apólice Endosso'!D:XFD,47,0))</f>
        <v/>
      </c>
      <c r="AX108" s="40">
        <f>VLOOKUP(N108,'Apólice Endosso'!D:XFD,30,0)</f>
        <v>5050.3500000000004</v>
      </c>
      <c r="AY108" s="36">
        <v>1809.0308599999998</v>
      </c>
      <c r="AZ108" s="16">
        <v>5050.3500000000004</v>
      </c>
      <c r="BA108" s="16"/>
    </row>
    <row r="109" spans="1:53" x14ac:dyDescent="0.3">
      <c r="A109" t="s">
        <v>85</v>
      </c>
      <c r="B109" s="9">
        <v>46136</v>
      </c>
      <c r="C109">
        <v>0</v>
      </c>
      <c r="D109" t="s">
        <v>84</v>
      </c>
      <c r="E109">
        <v>2103</v>
      </c>
      <c r="F109">
        <v>2103</v>
      </c>
      <c r="G109"/>
      <c r="H109"/>
      <c r="J109" t="s">
        <v>416</v>
      </c>
      <c r="K109" t="s">
        <v>417</v>
      </c>
      <c r="L109" t="s">
        <v>430</v>
      </c>
      <c r="M109" t="s">
        <v>86</v>
      </c>
      <c r="N109" t="s">
        <v>431</v>
      </c>
      <c r="O109" t="s">
        <v>87</v>
      </c>
      <c r="P109" t="s">
        <v>89</v>
      </c>
      <c r="Q109" t="s">
        <v>90</v>
      </c>
      <c r="R109">
        <v>2026</v>
      </c>
      <c r="S109">
        <v>2026</v>
      </c>
      <c r="T109" t="s">
        <v>88</v>
      </c>
      <c r="U109">
        <v>85</v>
      </c>
      <c r="V109">
        <v>84669</v>
      </c>
      <c r="W109">
        <v>152.16</v>
      </c>
      <c r="X109">
        <v>420.86</v>
      </c>
      <c r="Y109">
        <v>0</v>
      </c>
      <c r="Z109">
        <v>65.209999999999994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12700.35</v>
      </c>
      <c r="AG109">
        <v>320000</v>
      </c>
      <c r="AH109">
        <v>150000</v>
      </c>
      <c r="AI109">
        <v>0</v>
      </c>
      <c r="AJ109">
        <v>150000</v>
      </c>
      <c r="AK109">
        <v>10000</v>
      </c>
      <c r="AL109">
        <v>10000</v>
      </c>
      <c r="AM109" s="42">
        <v>46113</v>
      </c>
      <c r="AN109" s="42">
        <v>46447</v>
      </c>
      <c r="AO109">
        <v>0</v>
      </c>
      <c r="AP109">
        <v>0</v>
      </c>
      <c r="AQ109">
        <v>0</v>
      </c>
      <c r="AR109" s="8">
        <f t="shared" si="2"/>
        <v>2391.0700000000002</v>
      </c>
      <c r="AS109" s="38">
        <f t="shared" si="3"/>
        <v>1797.2716762</v>
      </c>
      <c r="AT109" s="39" t="s">
        <v>864</v>
      </c>
      <c r="AU109" s="40">
        <f>VLOOKUP(N109,'Apólice Endosso'!D:XFD,23,0)</f>
        <v>0</v>
      </c>
      <c r="AV109" s="39" t="str">
        <f>VLOOKUP(N109,'Apólice Endosso'!D:XFD,28,0)</f>
        <v>Padrão (100%) sem blindagem - 150k - Contrato 2025</v>
      </c>
      <c r="AW109" s="41" t="str">
        <f>IF(VLOOKUP(N109,'Apólice Endosso'!D:XFD,47,0)=0,"",VLOOKUP(N109,'Apólice Endosso'!D:XFD,47,0))</f>
        <v/>
      </c>
      <c r="AX109" s="40">
        <f>VLOOKUP(N109,'Apólice Endosso'!D:XFD,30,0)</f>
        <v>5050.3500000000004</v>
      </c>
      <c r="AY109" s="36">
        <v>1809.0308599999998</v>
      </c>
      <c r="AZ109" s="16">
        <v>5050.3500000000004</v>
      </c>
      <c r="BA109" s="16"/>
    </row>
    <row r="110" spans="1:53" x14ac:dyDescent="0.3">
      <c r="A110" t="s">
        <v>85</v>
      </c>
      <c r="B110" s="9">
        <v>46136</v>
      </c>
      <c r="C110">
        <v>0</v>
      </c>
      <c r="D110" t="s">
        <v>84</v>
      </c>
      <c r="E110">
        <v>2103</v>
      </c>
      <c r="F110">
        <v>2103</v>
      </c>
      <c r="G110"/>
      <c r="H110"/>
      <c r="J110" t="s">
        <v>416</v>
      </c>
      <c r="K110" t="s">
        <v>417</v>
      </c>
      <c r="L110" t="s">
        <v>432</v>
      </c>
      <c r="M110" t="s">
        <v>86</v>
      </c>
      <c r="N110" t="s">
        <v>433</v>
      </c>
      <c r="O110" t="s">
        <v>87</v>
      </c>
      <c r="P110" t="s">
        <v>89</v>
      </c>
      <c r="Q110" t="s">
        <v>90</v>
      </c>
      <c r="R110">
        <v>2026</v>
      </c>
      <c r="S110">
        <v>2026</v>
      </c>
      <c r="T110" t="s">
        <v>88</v>
      </c>
      <c r="U110">
        <v>85</v>
      </c>
      <c r="V110">
        <v>84669</v>
      </c>
      <c r="W110">
        <v>152.16</v>
      </c>
      <c r="X110">
        <v>420.86</v>
      </c>
      <c r="Y110">
        <v>0</v>
      </c>
      <c r="Z110">
        <v>65.209999999999994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12700.35</v>
      </c>
      <c r="AG110">
        <v>320000</v>
      </c>
      <c r="AH110">
        <v>150000</v>
      </c>
      <c r="AI110">
        <v>0</v>
      </c>
      <c r="AJ110">
        <v>150000</v>
      </c>
      <c r="AK110">
        <v>10000</v>
      </c>
      <c r="AL110">
        <v>10000</v>
      </c>
      <c r="AM110" s="42">
        <v>46113</v>
      </c>
      <c r="AN110" s="42">
        <v>46447</v>
      </c>
      <c r="AO110">
        <v>0</v>
      </c>
      <c r="AP110">
        <v>0</v>
      </c>
      <c r="AQ110">
        <v>0</v>
      </c>
      <c r="AR110" s="8">
        <f t="shared" si="2"/>
        <v>2391.0700000000002</v>
      </c>
      <c r="AS110" s="38">
        <f t="shared" si="3"/>
        <v>1797.2716762</v>
      </c>
      <c r="AT110" s="39" t="s">
        <v>864</v>
      </c>
      <c r="AU110" s="40">
        <f>VLOOKUP(N110,'Apólice Endosso'!D:XFD,23,0)</f>
        <v>0</v>
      </c>
      <c r="AV110" s="39" t="str">
        <f>VLOOKUP(N110,'Apólice Endosso'!D:XFD,28,0)</f>
        <v>Padrão (100%) sem blindagem - 150k - Contrato 2025</v>
      </c>
      <c r="AW110" s="41" t="str">
        <f>IF(VLOOKUP(N110,'Apólice Endosso'!D:XFD,47,0)=0,"",VLOOKUP(N110,'Apólice Endosso'!D:XFD,47,0))</f>
        <v/>
      </c>
      <c r="AX110" s="40">
        <f>VLOOKUP(N110,'Apólice Endosso'!D:XFD,30,0)</f>
        <v>5050.3500000000004</v>
      </c>
      <c r="AY110" s="36">
        <v>1809.0308599999998</v>
      </c>
      <c r="AZ110" s="16">
        <v>5050.3500000000004</v>
      </c>
      <c r="BA110" s="16"/>
    </row>
    <row r="111" spans="1:53" x14ac:dyDescent="0.3">
      <c r="A111" t="s">
        <v>85</v>
      </c>
      <c r="B111" s="9">
        <v>46136</v>
      </c>
      <c r="C111">
        <v>0</v>
      </c>
      <c r="D111" t="s">
        <v>84</v>
      </c>
      <c r="E111">
        <v>2103</v>
      </c>
      <c r="F111">
        <v>2103</v>
      </c>
      <c r="G111"/>
      <c r="H111"/>
      <c r="J111" t="s">
        <v>416</v>
      </c>
      <c r="K111" t="s">
        <v>417</v>
      </c>
      <c r="L111" t="s">
        <v>434</v>
      </c>
      <c r="M111" t="s">
        <v>86</v>
      </c>
      <c r="N111" t="s">
        <v>435</v>
      </c>
      <c r="O111" t="s">
        <v>87</v>
      </c>
      <c r="P111" t="s">
        <v>89</v>
      </c>
      <c r="Q111" t="s">
        <v>90</v>
      </c>
      <c r="R111">
        <v>2026</v>
      </c>
      <c r="S111">
        <v>2026</v>
      </c>
      <c r="T111" t="s">
        <v>88</v>
      </c>
      <c r="U111">
        <v>85</v>
      </c>
      <c r="V111">
        <v>84669</v>
      </c>
      <c r="W111">
        <v>152.16</v>
      </c>
      <c r="X111">
        <v>420.86</v>
      </c>
      <c r="Y111">
        <v>0</v>
      </c>
      <c r="Z111">
        <v>65.209999999999994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12700.35</v>
      </c>
      <c r="AG111">
        <v>320000</v>
      </c>
      <c r="AH111">
        <v>150000</v>
      </c>
      <c r="AI111">
        <v>0</v>
      </c>
      <c r="AJ111">
        <v>150000</v>
      </c>
      <c r="AK111">
        <v>10000</v>
      </c>
      <c r="AL111">
        <v>10000</v>
      </c>
      <c r="AM111" s="42">
        <v>46113</v>
      </c>
      <c r="AN111" s="42">
        <v>46447</v>
      </c>
      <c r="AO111">
        <v>0</v>
      </c>
      <c r="AP111">
        <v>0</v>
      </c>
      <c r="AQ111">
        <v>0</v>
      </c>
      <c r="AR111" s="8">
        <f t="shared" si="2"/>
        <v>2391.0700000000002</v>
      </c>
      <c r="AS111" s="38">
        <f t="shared" si="3"/>
        <v>1797.2716762</v>
      </c>
      <c r="AT111" s="39" t="s">
        <v>864</v>
      </c>
      <c r="AU111" s="40">
        <f>VLOOKUP(N111,'Apólice Endosso'!D:XFD,23,0)</f>
        <v>0</v>
      </c>
      <c r="AV111" s="39" t="str">
        <f>VLOOKUP(N111,'Apólice Endosso'!D:XFD,28,0)</f>
        <v>Padrão (100%) sem blindagem - 150k - Contrato 2025</v>
      </c>
      <c r="AW111" s="41" t="str">
        <f>IF(VLOOKUP(N111,'Apólice Endosso'!D:XFD,47,0)=0,"",VLOOKUP(N111,'Apólice Endosso'!D:XFD,47,0))</f>
        <v/>
      </c>
      <c r="AX111" s="40">
        <f>VLOOKUP(N111,'Apólice Endosso'!D:XFD,30,0)</f>
        <v>5050.3500000000004</v>
      </c>
      <c r="AY111" s="36">
        <v>1809.0308599999998</v>
      </c>
      <c r="AZ111" s="16">
        <v>5050.3500000000004</v>
      </c>
      <c r="BA111" s="16"/>
    </row>
    <row r="112" spans="1:53" x14ac:dyDescent="0.3">
      <c r="A112" t="s">
        <v>85</v>
      </c>
      <c r="B112" s="9">
        <v>46136</v>
      </c>
      <c r="C112">
        <v>0</v>
      </c>
      <c r="D112" t="s">
        <v>84</v>
      </c>
      <c r="E112">
        <v>2103</v>
      </c>
      <c r="F112">
        <v>2103</v>
      </c>
      <c r="G112"/>
      <c r="H112"/>
      <c r="J112" t="s">
        <v>416</v>
      </c>
      <c r="K112" t="s">
        <v>417</v>
      </c>
      <c r="L112" t="s">
        <v>436</v>
      </c>
      <c r="M112" t="s">
        <v>86</v>
      </c>
      <c r="N112" t="s">
        <v>437</v>
      </c>
      <c r="O112" t="s">
        <v>87</v>
      </c>
      <c r="P112" t="s">
        <v>89</v>
      </c>
      <c r="Q112" t="s">
        <v>90</v>
      </c>
      <c r="R112">
        <v>2026</v>
      </c>
      <c r="S112">
        <v>2026</v>
      </c>
      <c r="T112" t="s">
        <v>88</v>
      </c>
      <c r="U112">
        <v>85</v>
      </c>
      <c r="V112">
        <v>84669</v>
      </c>
      <c r="W112">
        <v>152.16</v>
      </c>
      <c r="X112">
        <v>420.86</v>
      </c>
      <c r="Y112">
        <v>0</v>
      </c>
      <c r="Z112">
        <v>65.209999999999994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12700.35</v>
      </c>
      <c r="AG112">
        <v>320000</v>
      </c>
      <c r="AH112">
        <v>150000</v>
      </c>
      <c r="AI112">
        <v>0</v>
      </c>
      <c r="AJ112">
        <v>150000</v>
      </c>
      <c r="AK112">
        <v>10000</v>
      </c>
      <c r="AL112">
        <v>10000</v>
      </c>
      <c r="AM112" s="42">
        <v>46113</v>
      </c>
      <c r="AN112" s="42">
        <v>46447</v>
      </c>
      <c r="AO112">
        <v>0</v>
      </c>
      <c r="AP112">
        <v>0</v>
      </c>
      <c r="AQ112">
        <v>0</v>
      </c>
      <c r="AR112" s="8">
        <f t="shared" si="2"/>
        <v>2391.0700000000002</v>
      </c>
      <c r="AS112" s="38">
        <f t="shared" si="3"/>
        <v>1797.2716762</v>
      </c>
      <c r="AT112" s="39" t="s">
        <v>864</v>
      </c>
      <c r="AU112" s="40">
        <f>VLOOKUP(N112,'Apólice Endosso'!D:XFD,23,0)</f>
        <v>0</v>
      </c>
      <c r="AV112" s="39" t="str">
        <f>VLOOKUP(N112,'Apólice Endosso'!D:XFD,28,0)</f>
        <v>Padrão (100%) sem blindagem - 150k - Contrato 2025</v>
      </c>
      <c r="AW112" s="41" t="str">
        <f>IF(VLOOKUP(N112,'Apólice Endosso'!D:XFD,47,0)=0,"",VLOOKUP(N112,'Apólice Endosso'!D:XFD,47,0))</f>
        <v/>
      </c>
      <c r="AX112" s="40">
        <f>VLOOKUP(N112,'Apólice Endosso'!D:XFD,30,0)</f>
        <v>5050.3500000000004</v>
      </c>
      <c r="AY112" s="36">
        <v>1809.0308599999998</v>
      </c>
      <c r="AZ112" s="16">
        <v>5050.3500000000004</v>
      </c>
      <c r="BA112" s="16"/>
    </row>
    <row r="113" spans="1:53" x14ac:dyDescent="0.3">
      <c r="A113" t="s">
        <v>85</v>
      </c>
      <c r="B113" s="9">
        <v>46136</v>
      </c>
      <c r="C113">
        <v>0</v>
      </c>
      <c r="D113" t="s">
        <v>84</v>
      </c>
      <c r="E113">
        <v>2103</v>
      </c>
      <c r="F113">
        <v>2103</v>
      </c>
      <c r="G113"/>
      <c r="H113"/>
      <c r="J113" t="s">
        <v>438</v>
      </c>
      <c r="K113" t="s">
        <v>439</v>
      </c>
      <c r="L113" t="s">
        <v>440</v>
      </c>
      <c r="M113" t="s">
        <v>86</v>
      </c>
      <c r="N113" t="s">
        <v>441</v>
      </c>
      <c r="O113" t="s">
        <v>87</v>
      </c>
      <c r="P113" t="s">
        <v>91</v>
      </c>
      <c r="Q113" t="s">
        <v>92</v>
      </c>
      <c r="R113">
        <v>2024</v>
      </c>
      <c r="S113">
        <v>2024</v>
      </c>
      <c r="T113" t="s">
        <v>93</v>
      </c>
      <c r="U113">
        <v>85</v>
      </c>
      <c r="V113">
        <v>0</v>
      </c>
      <c r="W113">
        <v>322.58</v>
      </c>
      <c r="X113">
        <v>2037.92</v>
      </c>
      <c r="Y113">
        <v>0</v>
      </c>
      <c r="Z113">
        <v>138.25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320000</v>
      </c>
      <c r="AH113">
        <v>150000</v>
      </c>
      <c r="AI113">
        <v>0</v>
      </c>
      <c r="AJ113">
        <v>150000</v>
      </c>
      <c r="AK113">
        <v>10000</v>
      </c>
      <c r="AL113">
        <v>10000</v>
      </c>
      <c r="AM113" s="42">
        <v>46113</v>
      </c>
      <c r="AN113" s="42">
        <v>46447</v>
      </c>
      <c r="AO113">
        <v>0</v>
      </c>
      <c r="AP113">
        <v>0</v>
      </c>
      <c r="AQ113">
        <v>0</v>
      </c>
      <c r="AR113" s="8">
        <f t="shared" si="2"/>
        <v>5069.13</v>
      </c>
      <c r="AS113" s="38">
        <f t="shared" si="3"/>
        <v>3810.2622558000003</v>
      </c>
      <c r="AT113" s="39" t="s">
        <v>166</v>
      </c>
      <c r="AU113" s="40">
        <f>VLOOKUP(N113,'Apólice Endosso'!D:XFD,23,0)</f>
        <v>0</v>
      </c>
      <c r="AV113" s="39" t="str">
        <f>VLOOKUP(N113,'Apólice Endosso'!D:XFD,28,0)</f>
        <v>Padrão (100%) sem blindagem - 150k - Contrato 2025</v>
      </c>
      <c r="AW113" s="41" t="str">
        <f>IF(VLOOKUP(N113,'Apólice Endosso'!D:XFD,47,0)=0,"",VLOOKUP(N113,'Apólice Endosso'!D:XFD,47,0))</f>
        <v/>
      </c>
      <c r="AX113" s="40">
        <f>VLOOKUP(N113,'Apólice Endosso'!D:XFD,30,0)</f>
        <v>24455.05</v>
      </c>
      <c r="AY113" s="36">
        <v>3651.0381179999995</v>
      </c>
      <c r="AZ113" s="16">
        <v>24455.05</v>
      </c>
      <c r="BA113" s="16"/>
    </row>
    <row r="114" spans="1:53" x14ac:dyDescent="0.3">
      <c r="A114" t="s">
        <v>85</v>
      </c>
      <c r="B114" s="9">
        <v>46136</v>
      </c>
      <c r="C114">
        <v>0</v>
      </c>
      <c r="D114" t="s">
        <v>84</v>
      </c>
      <c r="E114">
        <v>2103</v>
      </c>
      <c r="F114">
        <v>2103</v>
      </c>
      <c r="G114"/>
      <c r="H114"/>
      <c r="J114" t="s">
        <v>442</v>
      </c>
      <c r="K114" t="s">
        <v>443</v>
      </c>
      <c r="L114" t="s">
        <v>444</v>
      </c>
      <c r="M114" t="s">
        <v>86</v>
      </c>
      <c r="N114" t="s">
        <v>445</v>
      </c>
      <c r="O114" t="s">
        <v>87</v>
      </c>
      <c r="P114" t="s">
        <v>134</v>
      </c>
      <c r="Q114" t="s">
        <v>161</v>
      </c>
      <c r="R114">
        <v>2026</v>
      </c>
      <c r="S114">
        <v>2026</v>
      </c>
      <c r="T114" t="s">
        <v>135</v>
      </c>
      <c r="U114">
        <v>85</v>
      </c>
      <c r="V114">
        <v>133163</v>
      </c>
      <c r="W114">
        <v>187.99</v>
      </c>
      <c r="X114">
        <v>650.57000000000005</v>
      </c>
      <c r="Y114">
        <v>0</v>
      </c>
      <c r="Z114">
        <v>80.64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19974.45</v>
      </c>
      <c r="AG114">
        <v>620000</v>
      </c>
      <c r="AH114">
        <v>300000</v>
      </c>
      <c r="AI114">
        <v>0</v>
      </c>
      <c r="AJ114">
        <v>300000</v>
      </c>
      <c r="AK114">
        <v>10000</v>
      </c>
      <c r="AL114">
        <v>10000</v>
      </c>
      <c r="AM114" s="42">
        <v>46113</v>
      </c>
      <c r="AN114" s="42">
        <v>46447</v>
      </c>
      <c r="AO114">
        <v>0</v>
      </c>
      <c r="AP114">
        <v>0</v>
      </c>
      <c r="AQ114">
        <v>0</v>
      </c>
      <c r="AR114" s="8">
        <f t="shared" si="2"/>
        <v>2954.93</v>
      </c>
      <c r="AS114" s="38">
        <f t="shared" si="3"/>
        <v>2221.1026837999993</v>
      </c>
      <c r="AT114" s="39" t="s">
        <v>167</v>
      </c>
      <c r="AU114" s="40">
        <f>VLOOKUP(N114,'Apólice Endosso'!D:XFD,23,0)</f>
        <v>0</v>
      </c>
      <c r="AV114" s="39" t="str">
        <f>VLOOKUP(N114,'Apólice Endosso'!D:XFD,28,0)</f>
        <v>Padrão (100%) sem blindagem - 300k - Contrato 2025</v>
      </c>
      <c r="AW114" s="41" t="str">
        <f>IF(VLOOKUP(N114,'Apólice Endosso'!D:XFD,47,0)=0,"",VLOOKUP(N114,'Apólice Endosso'!D:XFD,47,0))</f>
        <v/>
      </c>
      <c r="AX114" s="40">
        <f>VLOOKUP(N114,'Apólice Endosso'!D:XFD,30,0)</f>
        <v>7806.8</v>
      </c>
      <c r="AY114" s="36">
        <v>2196.8659440000001</v>
      </c>
      <c r="AZ114" s="16">
        <v>7806.8</v>
      </c>
      <c r="BA114" s="16"/>
    </row>
    <row r="115" spans="1:53" x14ac:dyDescent="0.3">
      <c r="A115" t="s">
        <v>85</v>
      </c>
      <c r="B115" s="9">
        <v>46136</v>
      </c>
      <c r="C115">
        <v>0</v>
      </c>
      <c r="D115" t="s">
        <v>84</v>
      </c>
      <c r="E115">
        <v>2103</v>
      </c>
      <c r="F115">
        <v>2103</v>
      </c>
      <c r="G115"/>
      <c r="H115"/>
      <c r="J115" t="s">
        <v>446</v>
      </c>
      <c r="K115" t="s">
        <v>447</v>
      </c>
      <c r="L115" t="s">
        <v>448</v>
      </c>
      <c r="M115" t="s">
        <v>86</v>
      </c>
      <c r="N115" t="s">
        <v>449</v>
      </c>
      <c r="O115" t="s">
        <v>87</v>
      </c>
      <c r="P115" t="s">
        <v>91</v>
      </c>
      <c r="Q115" t="s">
        <v>92</v>
      </c>
      <c r="R115">
        <v>2024</v>
      </c>
      <c r="S115">
        <v>2024</v>
      </c>
      <c r="T115" t="s">
        <v>93</v>
      </c>
      <c r="U115">
        <v>85</v>
      </c>
      <c r="V115">
        <v>0</v>
      </c>
      <c r="W115">
        <v>322.58</v>
      </c>
      <c r="X115">
        <v>2037.92</v>
      </c>
      <c r="Y115">
        <v>0</v>
      </c>
      <c r="Z115">
        <v>138.25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320000</v>
      </c>
      <c r="AH115">
        <v>150000</v>
      </c>
      <c r="AI115">
        <v>0</v>
      </c>
      <c r="AJ115">
        <v>150000</v>
      </c>
      <c r="AK115">
        <v>10000</v>
      </c>
      <c r="AL115">
        <v>10000</v>
      </c>
      <c r="AM115" s="42">
        <v>46113</v>
      </c>
      <c r="AN115" s="42">
        <v>46447</v>
      </c>
      <c r="AO115">
        <v>0</v>
      </c>
      <c r="AP115">
        <v>0</v>
      </c>
      <c r="AQ115">
        <v>0</v>
      </c>
      <c r="AR115" s="8">
        <f t="shared" si="2"/>
        <v>5069.13</v>
      </c>
      <c r="AS115" s="38">
        <f t="shared" si="3"/>
        <v>3810.2622558000003</v>
      </c>
      <c r="AT115" s="39" t="s">
        <v>163</v>
      </c>
      <c r="AU115" s="40">
        <f>VLOOKUP(N115,'Apólice Endosso'!D:XFD,23,0)</f>
        <v>0</v>
      </c>
      <c r="AV115" s="39" t="str">
        <f>VLOOKUP(N115,'Apólice Endosso'!D:XFD,28,0)</f>
        <v>Padrão (100%) sem blindagem - 150k - Contrato 2025</v>
      </c>
      <c r="AW115" s="41" t="str">
        <f>IF(VLOOKUP(N115,'Apólice Endosso'!D:XFD,47,0)=0,"",VLOOKUP(N115,'Apólice Endosso'!D:XFD,47,0))</f>
        <v/>
      </c>
      <c r="AX115" s="40">
        <f>VLOOKUP(N115,'Apólice Endosso'!D:XFD,30,0)</f>
        <v>24455.05</v>
      </c>
      <c r="AY115" s="36">
        <v>3651.0381179999995</v>
      </c>
      <c r="AZ115" s="16">
        <v>24455.05</v>
      </c>
      <c r="BA115" s="16"/>
    </row>
    <row r="116" spans="1:53" x14ac:dyDescent="0.3">
      <c r="A116" t="s">
        <v>85</v>
      </c>
      <c r="B116" s="9">
        <v>46136</v>
      </c>
      <c r="C116">
        <v>0</v>
      </c>
      <c r="D116" t="s">
        <v>84</v>
      </c>
      <c r="E116">
        <v>2103</v>
      </c>
      <c r="F116">
        <v>2103</v>
      </c>
      <c r="G116"/>
      <c r="H116"/>
      <c r="J116" t="s">
        <v>450</v>
      </c>
      <c r="K116" t="s">
        <v>451</v>
      </c>
      <c r="L116" t="s">
        <v>452</v>
      </c>
      <c r="M116" t="s">
        <v>86</v>
      </c>
      <c r="N116" t="s">
        <v>453</v>
      </c>
      <c r="O116" t="s">
        <v>87</v>
      </c>
      <c r="P116" t="s">
        <v>89</v>
      </c>
      <c r="Q116" t="s">
        <v>90</v>
      </c>
      <c r="R116">
        <v>2026</v>
      </c>
      <c r="S116">
        <v>2026</v>
      </c>
      <c r="T116" t="s">
        <v>88</v>
      </c>
      <c r="U116">
        <v>85</v>
      </c>
      <c r="V116">
        <v>84669</v>
      </c>
      <c r="W116">
        <v>153.06</v>
      </c>
      <c r="X116">
        <v>420.86</v>
      </c>
      <c r="Y116">
        <v>0</v>
      </c>
      <c r="Z116">
        <v>68.73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12700.35</v>
      </c>
      <c r="AG116">
        <v>620000</v>
      </c>
      <c r="AH116">
        <v>300000</v>
      </c>
      <c r="AI116">
        <v>0</v>
      </c>
      <c r="AJ116">
        <v>300000</v>
      </c>
      <c r="AK116">
        <v>10000</v>
      </c>
      <c r="AL116">
        <v>10000</v>
      </c>
      <c r="AM116" s="42">
        <v>46113</v>
      </c>
      <c r="AN116" s="42">
        <v>46447</v>
      </c>
      <c r="AO116">
        <v>0</v>
      </c>
      <c r="AP116">
        <v>0</v>
      </c>
      <c r="AQ116">
        <v>0</v>
      </c>
      <c r="AR116" s="8">
        <f t="shared" si="2"/>
        <v>2439.69</v>
      </c>
      <c r="AS116" s="38">
        <f t="shared" si="3"/>
        <v>1833.8173853999999</v>
      </c>
      <c r="AT116" s="39" t="s">
        <v>173</v>
      </c>
      <c r="AU116" s="40">
        <f>VLOOKUP(N116,'Apólice Endosso'!D:XFD,23,0)</f>
        <v>0</v>
      </c>
      <c r="AV116" s="39" t="str">
        <f>VLOOKUP(N116,'Apólice Endosso'!D:XFD,28,0)</f>
        <v>Padrão (100%) sem blindagem - 300k - Contrato 2025</v>
      </c>
      <c r="AW116" s="41" t="str">
        <f>IF(VLOOKUP(N116,'Apólice Endosso'!D:XFD,47,0)=0,"",VLOOKUP(N116,'Apólice Endosso'!D:XFD,47,0))</f>
        <v/>
      </c>
      <c r="AX116" s="40">
        <f>VLOOKUP(N116,'Apólice Endosso'!D:XFD,30,0)</f>
        <v>5050.3500000000004</v>
      </c>
      <c r="AY116" s="36">
        <v>1842.4582539999999</v>
      </c>
      <c r="AZ116" s="16">
        <v>5050.3500000000004</v>
      </c>
      <c r="BA116" s="16"/>
    </row>
    <row r="117" spans="1:53" x14ac:dyDescent="0.3">
      <c r="A117" t="s">
        <v>85</v>
      </c>
      <c r="B117" s="9">
        <v>46136</v>
      </c>
      <c r="C117">
        <v>0</v>
      </c>
      <c r="D117" t="s">
        <v>84</v>
      </c>
      <c r="E117">
        <v>2103</v>
      </c>
      <c r="F117">
        <v>2103</v>
      </c>
      <c r="G117"/>
      <c r="H117"/>
      <c r="J117" t="s">
        <v>454</v>
      </c>
      <c r="K117" t="s">
        <v>455</v>
      </c>
      <c r="L117" t="s">
        <v>456</v>
      </c>
      <c r="M117" t="s">
        <v>86</v>
      </c>
      <c r="N117" t="s">
        <v>457</v>
      </c>
      <c r="O117" t="s">
        <v>87</v>
      </c>
      <c r="P117" t="s">
        <v>89</v>
      </c>
      <c r="Q117" t="s">
        <v>90</v>
      </c>
      <c r="R117">
        <v>2026</v>
      </c>
      <c r="S117">
        <v>2026</v>
      </c>
      <c r="T117" t="s">
        <v>88</v>
      </c>
      <c r="U117">
        <v>85</v>
      </c>
      <c r="V117">
        <v>84669</v>
      </c>
      <c r="W117">
        <v>153.06</v>
      </c>
      <c r="X117">
        <v>420.86</v>
      </c>
      <c r="Y117">
        <v>0</v>
      </c>
      <c r="Z117">
        <v>68.73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12700.35</v>
      </c>
      <c r="AG117">
        <v>620000</v>
      </c>
      <c r="AH117">
        <v>300000</v>
      </c>
      <c r="AI117">
        <v>0</v>
      </c>
      <c r="AJ117">
        <v>300000</v>
      </c>
      <c r="AK117">
        <v>10000</v>
      </c>
      <c r="AL117">
        <v>10000</v>
      </c>
      <c r="AM117" s="42">
        <v>46113</v>
      </c>
      <c r="AN117" s="42">
        <v>46447</v>
      </c>
      <c r="AO117">
        <v>0</v>
      </c>
      <c r="AP117">
        <v>0</v>
      </c>
      <c r="AQ117">
        <v>0</v>
      </c>
      <c r="AR117" s="8">
        <f t="shared" si="2"/>
        <v>2439.69</v>
      </c>
      <c r="AS117" s="38">
        <f t="shared" si="3"/>
        <v>1833.8173853999999</v>
      </c>
      <c r="AT117" s="39" t="s">
        <v>865</v>
      </c>
      <c r="AU117" s="40">
        <f>VLOOKUP(N117,'Apólice Endosso'!D:XFD,23,0)</f>
        <v>0</v>
      </c>
      <c r="AV117" s="39" t="str">
        <f>VLOOKUP(N117,'Apólice Endosso'!D:XFD,28,0)</f>
        <v>Padrão (100%) sem blindagem - 300k - Contrato 2025</v>
      </c>
      <c r="AW117" s="41" t="str">
        <f>IF(VLOOKUP(N117,'Apólice Endosso'!D:XFD,47,0)=0,"",VLOOKUP(N117,'Apólice Endosso'!D:XFD,47,0))</f>
        <v/>
      </c>
      <c r="AX117" s="40">
        <f>VLOOKUP(N117,'Apólice Endosso'!D:XFD,30,0)</f>
        <v>5050.3500000000004</v>
      </c>
      <c r="AY117" s="36">
        <v>1842.4582539999999</v>
      </c>
      <c r="AZ117" s="16">
        <v>5050.3500000000004</v>
      </c>
      <c r="BA117" s="16"/>
    </row>
    <row r="118" spans="1:53" x14ac:dyDescent="0.3">
      <c r="A118" t="s">
        <v>85</v>
      </c>
      <c r="B118" s="9">
        <v>46136</v>
      </c>
      <c r="C118">
        <v>0</v>
      </c>
      <c r="D118" t="s">
        <v>84</v>
      </c>
      <c r="E118">
        <v>2103</v>
      </c>
      <c r="F118">
        <v>2103</v>
      </c>
      <c r="G118"/>
      <c r="H118"/>
      <c r="J118" t="s">
        <v>458</v>
      </c>
      <c r="K118" t="s">
        <v>459</v>
      </c>
      <c r="L118" t="s">
        <v>460</v>
      </c>
      <c r="M118" t="s">
        <v>86</v>
      </c>
      <c r="N118" t="s">
        <v>461</v>
      </c>
      <c r="O118" t="s">
        <v>87</v>
      </c>
      <c r="P118" t="s">
        <v>89</v>
      </c>
      <c r="Q118" t="s">
        <v>90</v>
      </c>
      <c r="R118">
        <v>2026</v>
      </c>
      <c r="S118">
        <v>2026</v>
      </c>
      <c r="T118" t="s">
        <v>88</v>
      </c>
      <c r="U118">
        <v>85</v>
      </c>
      <c r="V118">
        <v>84669</v>
      </c>
      <c r="W118">
        <v>153.06</v>
      </c>
      <c r="X118">
        <v>420.86</v>
      </c>
      <c r="Y118">
        <v>0</v>
      </c>
      <c r="Z118">
        <v>68.73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12700.35</v>
      </c>
      <c r="AG118">
        <v>620000</v>
      </c>
      <c r="AH118">
        <v>300000</v>
      </c>
      <c r="AI118">
        <v>0</v>
      </c>
      <c r="AJ118">
        <v>300000</v>
      </c>
      <c r="AK118">
        <v>10000</v>
      </c>
      <c r="AL118">
        <v>10000</v>
      </c>
      <c r="AM118" s="42">
        <v>46113</v>
      </c>
      <c r="AN118" s="42">
        <v>46447</v>
      </c>
      <c r="AO118">
        <v>0</v>
      </c>
      <c r="AP118">
        <v>0</v>
      </c>
      <c r="AQ118">
        <v>0</v>
      </c>
      <c r="AR118" s="8">
        <f t="shared" si="2"/>
        <v>2439.69</v>
      </c>
      <c r="AS118" s="38">
        <f t="shared" si="3"/>
        <v>1833.8173853999999</v>
      </c>
      <c r="AT118" s="39" t="s">
        <v>866</v>
      </c>
      <c r="AU118" s="40">
        <f>VLOOKUP(N118,'Apólice Endosso'!D:XFD,23,0)</f>
        <v>0</v>
      </c>
      <c r="AV118" s="39" t="str">
        <f>VLOOKUP(N118,'Apólice Endosso'!D:XFD,28,0)</f>
        <v>Padrão (100%) sem blindagem - 300k - Contrato 2025</v>
      </c>
      <c r="AW118" s="41" t="str">
        <f>IF(VLOOKUP(N118,'Apólice Endosso'!D:XFD,47,0)=0,"",VLOOKUP(N118,'Apólice Endosso'!D:XFD,47,0))</f>
        <v/>
      </c>
      <c r="AX118" s="40">
        <f>VLOOKUP(N118,'Apólice Endosso'!D:XFD,30,0)</f>
        <v>5050.3500000000004</v>
      </c>
      <c r="AY118" s="36">
        <v>1842.4582539999999</v>
      </c>
      <c r="AZ118" s="16">
        <v>5050.3500000000004</v>
      </c>
      <c r="BA118" s="16"/>
    </row>
    <row r="119" spans="1:53" x14ac:dyDescent="0.3">
      <c r="A119" t="s">
        <v>85</v>
      </c>
      <c r="B119" s="9">
        <v>46136</v>
      </c>
      <c r="C119">
        <v>0</v>
      </c>
      <c r="D119" t="s">
        <v>84</v>
      </c>
      <c r="E119">
        <v>2103</v>
      </c>
      <c r="F119">
        <v>2103</v>
      </c>
      <c r="G119"/>
      <c r="H119"/>
      <c r="J119" t="s">
        <v>462</v>
      </c>
      <c r="K119" t="s">
        <v>463</v>
      </c>
      <c r="L119" t="s">
        <v>464</v>
      </c>
      <c r="M119" t="s">
        <v>86</v>
      </c>
      <c r="N119" t="s">
        <v>465</v>
      </c>
      <c r="O119" t="s">
        <v>87</v>
      </c>
      <c r="P119" t="s">
        <v>89</v>
      </c>
      <c r="Q119" t="s">
        <v>90</v>
      </c>
      <c r="R119">
        <v>2026</v>
      </c>
      <c r="S119">
        <v>2026</v>
      </c>
      <c r="T119" t="s">
        <v>88</v>
      </c>
      <c r="U119">
        <v>85</v>
      </c>
      <c r="V119">
        <v>84669</v>
      </c>
      <c r="W119">
        <v>88.97</v>
      </c>
      <c r="X119">
        <v>426.25</v>
      </c>
      <c r="Y119">
        <v>0</v>
      </c>
      <c r="Z119">
        <v>38.130000000000003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12700.35</v>
      </c>
      <c r="AG119">
        <v>620000</v>
      </c>
      <c r="AH119">
        <v>300000</v>
      </c>
      <c r="AI119">
        <v>0</v>
      </c>
      <c r="AJ119">
        <v>300000</v>
      </c>
      <c r="AK119">
        <v>10000</v>
      </c>
      <c r="AL119">
        <v>10000</v>
      </c>
      <c r="AM119" s="42">
        <v>46113</v>
      </c>
      <c r="AN119" s="42">
        <v>46447</v>
      </c>
      <c r="AO119">
        <v>0</v>
      </c>
      <c r="AP119">
        <v>0</v>
      </c>
      <c r="AQ119">
        <v>0</v>
      </c>
      <c r="AR119" s="8">
        <f t="shared" si="2"/>
        <v>1398.1</v>
      </c>
      <c r="AS119" s="38">
        <f t="shared" si="3"/>
        <v>1050.8958459999999</v>
      </c>
      <c r="AT119" s="39" t="s">
        <v>867</v>
      </c>
      <c r="AU119" s="40">
        <f>VLOOKUP(N119,'Apólice Endosso'!D:XFD,23,0)</f>
        <v>0</v>
      </c>
      <c r="AV119" s="39" t="str">
        <f>VLOOKUP(N119,'Apólice Endosso'!D:XFD,28,0)</f>
        <v>Padrão (100%) sem blindagem - 300k - Contrato 2025</v>
      </c>
      <c r="AW119" s="41" t="str">
        <f>IF(VLOOKUP(N119,'Apólice Endosso'!D:XFD,47,0)=0,"",VLOOKUP(N119,'Apólice Endosso'!D:XFD,47,0))</f>
        <v/>
      </c>
      <c r="AX119" s="40">
        <f>VLOOKUP(N119,'Apólice Endosso'!D:XFD,30,0)</f>
        <v>5115</v>
      </c>
      <c r="AY119" s="36">
        <v>1126.0403700000004</v>
      </c>
      <c r="AZ119" s="16">
        <v>5115</v>
      </c>
      <c r="BA119" s="16"/>
    </row>
    <row r="120" spans="1:53" x14ac:dyDescent="0.3">
      <c r="A120" t="s">
        <v>85</v>
      </c>
      <c r="B120" s="9">
        <v>46140</v>
      </c>
      <c r="C120">
        <v>0</v>
      </c>
      <c r="D120" t="s">
        <v>84</v>
      </c>
      <c r="E120">
        <v>2103</v>
      </c>
      <c r="F120">
        <v>2103</v>
      </c>
      <c r="G120"/>
      <c r="H120"/>
      <c r="J120" t="s">
        <v>416</v>
      </c>
      <c r="K120" t="s">
        <v>417</v>
      </c>
      <c r="L120" t="s">
        <v>466</v>
      </c>
      <c r="M120" t="s">
        <v>86</v>
      </c>
      <c r="N120" t="s">
        <v>467</v>
      </c>
      <c r="O120" t="s">
        <v>87</v>
      </c>
      <c r="P120" t="s">
        <v>89</v>
      </c>
      <c r="Q120" t="s">
        <v>90</v>
      </c>
      <c r="R120">
        <v>2026</v>
      </c>
      <c r="S120">
        <v>2026</v>
      </c>
      <c r="T120" t="s">
        <v>88</v>
      </c>
      <c r="U120">
        <v>85</v>
      </c>
      <c r="V120">
        <v>84669</v>
      </c>
      <c r="W120">
        <v>152.16</v>
      </c>
      <c r="X120">
        <v>420.86</v>
      </c>
      <c r="Y120">
        <v>0</v>
      </c>
      <c r="Z120">
        <v>65.209999999999994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12700.35</v>
      </c>
      <c r="AG120">
        <v>320000</v>
      </c>
      <c r="AH120">
        <v>150000</v>
      </c>
      <c r="AI120">
        <v>0</v>
      </c>
      <c r="AJ120">
        <v>150000</v>
      </c>
      <c r="AK120">
        <v>10000</v>
      </c>
      <c r="AL120">
        <v>10000</v>
      </c>
      <c r="AM120" s="42">
        <v>46113</v>
      </c>
      <c r="AN120" s="42">
        <v>46447</v>
      </c>
      <c r="AO120">
        <v>0</v>
      </c>
      <c r="AP120">
        <v>0</v>
      </c>
      <c r="AQ120">
        <v>0</v>
      </c>
      <c r="AR120" s="8">
        <f t="shared" si="2"/>
        <v>2391.0700000000002</v>
      </c>
      <c r="AS120" s="38">
        <f t="shared" si="3"/>
        <v>1797.2716762</v>
      </c>
      <c r="AT120" s="39" t="s">
        <v>864</v>
      </c>
      <c r="AU120" s="40">
        <f>VLOOKUP(N120,'Apólice Endosso'!D:XFD,23,0)</f>
        <v>0</v>
      </c>
      <c r="AV120" s="39" t="str">
        <f>VLOOKUP(N120,'Apólice Endosso'!D:XFD,28,0)</f>
        <v>Padrão (100%) sem blindagem - 150k - Contrato 2025</v>
      </c>
      <c r="AW120" s="41" t="str">
        <f>IF(VLOOKUP(N120,'Apólice Endosso'!D:XFD,47,0)=0,"",VLOOKUP(N120,'Apólice Endosso'!D:XFD,47,0))</f>
        <v/>
      </c>
      <c r="AX120" s="40">
        <f>VLOOKUP(N120,'Apólice Endosso'!D:XFD,30,0)</f>
        <v>5050.3500000000004</v>
      </c>
      <c r="AY120" s="36">
        <v>1809.0308599999998</v>
      </c>
      <c r="AZ120" s="16">
        <v>5050.3500000000004</v>
      </c>
      <c r="BA120" s="16"/>
    </row>
    <row r="121" spans="1:53" x14ac:dyDescent="0.3">
      <c r="A121" t="s">
        <v>85</v>
      </c>
      <c r="B121" s="9">
        <v>46136</v>
      </c>
      <c r="C121">
        <v>0</v>
      </c>
      <c r="D121" t="s">
        <v>84</v>
      </c>
      <c r="E121">
        <v>2103</v>
      </c>
      <c r="F121">
        <v>2103</v>
      </c>
      <c r="G121"/>
      <c r="H121"/>
      <c r="J121" t="s">
        <v>149</v>
      </c>
      <c r="K121" t="s">
        <v>150</v>
      </c>
      <c r="L121" t="s">
        <v>468</v>
      </c>
      <c r="M121" t="s">
        <v>86</v>
      </c>
      <c r="N121" t="s">
        <v>469</v>
      </c>
      <c r="O121" t="s">
        <v>87</v>
      </c>
      <c r="P121" t="s">
        <v>89</v>
      </c>
      <c r="Q121" t="s">
        <v>90</v>
      </c>
      <c r="R121">
        <v>2026</v>
      </c>
      <c r="S121">
        <v>2026</v>
      </c>
      <c r="T121" t="s">
        <v>88</v>
      </c>
      <c r="U121">
        <v>85</v>
      </c>
      <c r="V121">
        <v>84669</v>
      </c>
      <c r="W121">
        <v>152.16</v>
      </c>
      <c r="X121">
        <v>420.86</v>
      </c>
      <c r="Y121">
        <v>0</v>
      </c>
      <c r="Z121">
        <v>65.209999999999994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12700.35</v>
      </c>
      <c r="AG121">
        <v>320000</v>
      </c>
      <c r="AH121">
        <v>150000</v>
      </c>
      <c r="AI121">
        <v>0</v>
      </c>
      <c r="AJ121">
        <v>150000</v>
      </c>
      <c r="AK121">
        <v>10000</v>
      </c>
      <c r="AL121">
        <v>10000</v>
      </c>
      <c r="AM121" s="42">
        <v>46113</v>
      </c>
      <c r="AN121" s="42">
        <v>46447</v>
      </c>
      <c r="AO121">
        <v>0</v>
      </c>
      <c r="AP121">
        <v>0</v>
      </c>
      <c r="AQ121">
        <v>0</v>
      </c>
      <c r="AR121" s="8">
        <f t="shared" si="2"/>
        <v>2391.0700000000002</v>
      </c>
      <c r="AS121" s="38">
        <f t="shared" si="3"/>
        <v>1797.2716762</v>
      </c>
      <c r="AT121" s="39" t="s">
        <v>173</v>
      </c>
      <c r="AU121" s="40">
        <f>VLOOKUP(N121,'Apólice Endosso'!D:XFD,23,0)</f>
        <v>0</v>
      </c>
      <c r="AV121" s="39" t="str">
        <f>VLOOKUP(N121,'Apólice Endosso'!D:XFD,28,0)</f>
        <v>Padrão (100%) sem blindagem - 150k - Contrato 2025</v>
      </c>
      <c r="AW121" s="41" t="str">
        <f>IF(VLOOKUP(N121,'Apólice Endosso'!D:XFD,47,0)=0,"",VLOOKUP(N121,'Apólice Endosso'!D:XFD,47,0))</f>
        <v/>
      </c>
      <c r="AX121" s="40">
        <f>VLOOKUP(N121,'Apólice Endosso'!D:XFD,30,0)</f>
        <v>5050.3500000000004</v>
      </c>
      <c r="AY121" s="36">
        <v>1809.0308599999998</v>
      </c>
      <c r="AZ121" s="16">
        <v>5050.3500000000004</v>
      </c>
      <c r="BA121" s="16"/>
    </row>
    <row r="122" spans="1:53" x14ac:dyDescent="0.3">
      <c r="A122" t="s">
        <v>85</v>
      </c>
      <c r="B122" s="9">
        <v>46136</v>
      </c>
      <c r="C122">
        <v>0</v>
      </c>
      <c r="D122" t="s">
        <v>84</v>
      </c>
      <c r="E122">
        <v>2103</v>
      </c>
      <c r="F122">
        <v>2103</v>
      </c>
      <c r="G122"/>
      <c r="H122"/>
      <c r="J122" t="s">
        <v>470</v>
      </c>
      <c r="K122" t="s">
        <v>471</v>
      </c>
      <c r="L122" t="s">
        <v>472</v>
      </c>
      <c r="M122" t="s">
        <v>86</v>
      </c>
      <c r="N122" t="s">
        <v>473</v>
      </c>
      <c r="O122" t="s">
        <v>87</v>
      </c>
      <c r="P122" t="s">
        <v>89</v>
      </c>
      <c r="Q122" t="s">
        <v>90</v>
      </c>
      <c r="R122">
        <v>2026</v>
      </c>
      <c r="S122">
        <v>2026</v>
      </c>
      <c r="T122" t="s">
        <v>88</v>
      </c>
      <c r="U122">
        <v>85</v>
      </c>
      <c r="V122">
        <v>84669</v>
      </c>
      <c r="W122">
        <v>152.16</v>
      </c>
      <c r="X122">
        <v>420.86</v>
      </c>
      <c r="Y122">
        <v>0</v>
      </c>
      <c r="Z122">
        <v>65.209999999999994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12700.35</v>
      </c>
      <c r="AG122">
        <v>320000</v>
      </c>
      <c r="AH122">
        <v>150000</v>
      </c>
      <c r="AI122">
        <v>0</v>
      </c>
      <c r="AJ122">
        <v>150000</v>
      </c>
      <c r="AK122">
        <v>10000</v>
      </c>
      <c r="AL122">
        <v>10000</v>
      </c>
      <c r="AM122" s="42">
        <v>46113</v>
      </c>
      <c r="AN122" s="42">
        <v>46447</v>
      </c>
      <c r="AO122">
        <v>0</v>
      </c>
      <c r="AP122">
        <v>0</v>
      </c>
      <c r="AQ122">
        <v>0</v>
      </c>
      <c r="AR122" s="8">
        <f t="shared" si="2"/>
        <v>2391.0700000000002</v>
      </c>
      <c r="AS122" s="38">
        <f t="shared" si="3"/>
        <v>1797.2716762</v>
      </c>
      <c r="AT122" s="39" t="s">
        <v>868</v>
      </c>
      <c r="AU122" s="40">
        <f>VLOOKUP(N122,'Apólice Endosso'!D:XFD,23,0)</f>
        <v>0</v>
      </c>
      <c r="AV122" s="39" t="str">
        <f>VLOOKUP(N122,'Apólice Endosso'!D:XFD,28,0)</f>
        <v>Padrão (100%) sem blindagem - 150k - Contrato 2025</v>
      </c>
      <c r="AW122" s="41" t="str">
        <f>IF(VLOOKUP(N122,'Apólice Endosso'!D:XFD,47,0)=0,"",VLOOKUP(N122,'Apólice Endosso'!D:XFD,47,0))</f>
        <v/>
      </c>
      <c r="AX122" s="40">
        <f>VLOOKUP(N122,'Apólice Endosso'!D:XFD,30,0)</f>
        <v>5050.3500000000004</v>
      </c>
      <c r="AY122" s="36">
        <v>1809.0308599999998</v>
      </c>
      <c r="AZ122" s="16">
        <v>5050.3500000000004</v>
      </c>
      <c r="BA122" s="16"/>
    </row>
    <row r="123" spans="1:53" x14ac:dyDescent="0.3">
      <c r="A123" t="s">
        <v>85</v>
      </c>
      <c r="B123" s="9">
        <v>46136</v>
      </c>
      <c r="C123">
        <v>0</v>
      </c>
      <c r="D123" t="s">
        <v>84</v>
      </c>
      <c r="E123">
        <v>2103</v>
      </c>
      <c r="F123">
        <v>2103</v>
      </c>
      <c r="G123"/>
      <c r="H123"/>
      <c r="J123" t="s">
        <v>470</v>
      </c>
      <c r="K123" t="s">
        <v>471</v>
      </c>
      <c r="L123" t="s">
        <v>474</v>
      </c>
      <c r="M123" t="s">
        <v>86</v>
      </c>
      <c r="N123" t="s">
        <v>475</v>
      </c>
      <c r="O123" t="s">
        <v>87</v>
      </c>
      <c r="P123" t="s">
        <v>89</v>
      </c>
      <c r="Q123" t="s">
        <v>90</v>
      </c>
      <c r="R123">
        <v>2026</v>
      </c>
      <c r="S123">
        <v>2026</v>
      </c>
      <c r="T123" t="s">
        <v>88</v>
      </c>
      <c r="U123">
        <v>85</v>
      </c>
      <c r="V123">
        <v>84669</v>
      </c>
      <c r="W123">
        <v>152.16</v>
      </c>
      <c r="X123">
        <v>420.86</v>
      </c>
      <c r="Y123">
        <v>0</v>
      </c>
      <c r="Z123">
        <v>65.209999999999994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12700.35</v>
      </c>
      <c r="AG123">
        <v>320000</v>
      </c>
      <c r="AH123">
        <v>150000</v>
      </c>
      <c r="AI123">
        <v>0</v>
      </c>
      <c r="AJ123">
        <v>150000</v>
      </c>
      <c r="AK123">
        <v>10000</v>
      </c>
      <c r="AL123">
        <v>10000</v>
      </c>
      <c r="AM123" s="42">
        <v>46113</v>
      </c>
      <c r="AN123" s="42">
        <v>46447</v>
      </c>
      <c r="AO123">
        <v>0</v>
      </c>
      <c r="AP123">
        <v>0</v>
      </c>
      <c r="AQ123">
        <v>0</v>
      </c>
      <c r="AR123" s="8">
        <f t="shared" si="2"/>
        <v>2391.0700000000002</v>
      </c>
      <c r="AS123" s="38">
        <f t="shared" si="3"/>
        <v>1797.2716762</v>
      </c>
      <c r="AT123" s="39" t="s">
        <v>868</v>
      </c>
      <c r="AU123" s="40">
        <f>VLOOKUP(N123,'Apólice Endosso'!D:XFD,23,0)</f>
        <v>0</v>
      </c>
      <c r="AV123" s="39" t="str">
        <f>VLOOKUP(N123,'Apólice Endosso'!D:XFD,28,0)</f>
        <v>Padrão (100%) sem blindagem - 150k - Contrato 2025</v>
      </c>
      <c r="AW123" s="41" t="str">
        <f>IF(VLOOKUP(N123,'Apólice Endosso'!D:XFD,47,0)=0,"",VLOOKUP(N123,'Apólice Endosso'!D:XFD,47,0))</f>
        <v/>
      </c>
      <c r="AX123" s="40">
        <f>VLOOKUP(N123,'Apólice Endosso'!D:XFD,30,0)</f>
        <v>5050.3500000000004</v>
      </c>
      <c r="AY123" s="36">
        <v>1809.0308599999998</v>
      </c>
      <c r="AZ123" s="16">
        <v>5050.3500000000004</v>
      </c>
      <c r="BA123" s="16"/>
    </row>
    <row r="124" spans="1:53" x14ac:dyDescent="0.3">
      <c r="A124" t="s">
        <v>85</v>
      </c>
      <c r="B124" s="9">
        <v>46136</v>
      </c>
      <c r="C124">
        <v>0</v>
      </c>
      <c r="D124" t="s">
        <v>84</v>
      </c>
      <c r="E124">
        <v>2103</v>
      </c>
      <c r="F124">
        <v>2103</v>
      </c>
      <c r="G124"/>
      <c r="H124"/>
      <c r="J124" t="s">
        <v>470</v>
      </c>
      <c r="K124" t="s">
        <v>471</v>
      </c>
      <c r="L124" t="s">
        <v>476</v>
      </c>
      <c r="M124" t="s">
        <v>86</v>
      </c>
      <c r="N124" t="s">
        <v>477</v>
      </c>
      <c r="O124" t="s">
        <v>87</v>
      </c>
      <c r="P124" t="s">
        <v>89</v>
      </c>
      <c r="Q124" t="s">
        <v>90</v>
      </c>
      <c r="R124">
        <v>2026</v>
      </c>
      <c r="S124">
        <v>2026</v>
      </c>
      <c r="T124" t="s">
        <v>88</v>
      </c>
      <c r="U124">
        <v>85</v>
      </c>
      <c r="V124">
        <v>84669</v>
      </c>
      <c r="W124">
        <v>152.16</v>
      </c>
      <c r="X124">
        <v>420.86</v>
      </c>
      <c r="Y124">
        <v>0</v>
      </c>
      <c r="Z124">
        <v>65.209999999999994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12700.35</v>
      </c>
      <c r="AG124">
        <v>320000</v>
      </c>
      <c r="AH124">
        <v>150000</v>
      </c>
      <c r="AI124">
        <v>0</v>
      </c>
      <c r="AJ124">
        <v>150000</v>
      </c>
      <c r="AK124">
        <v>10000</v>
      </c>
      <c r="AL124">
        <v>10000</v>
      </c>
      <c r="AM124" s="42">
        <v>46113</v>
      </c>
      <c r="AN124" s="42">
        <v>46447</v>
      </c>
      <c r="AO124">
        <v>0</v>
      </c>
      <c r="AP124">
        <v>0</v>
      </c>
      <c r="AQ124">
        <v>0</v>
      </c>
      <c r="AR124" s="8">
        <f t="shared" si="2"/>
        <v>2391.0700000000002</v>
      </c>
      <c r="AS124" s="38">
        <f t="shared" si="3"/>
        <v>1797.2716762</v>
      </c>
      <c r="AT124" s="39" t="s">
        <v>868</v>
      </c>
      <c r="AU124" s="40">
        <f>VLOOKUP(N124,'Apólice Endosso'!D:XFD,23,0)</f>
        <v>0</v>
      </c>
      <c r="AV124" s="39" t="str">
        <f>VLOOKUP(N124,'Apólice Endosso'!D:XFD,28,0)</f>
        <v>Padrão (100%) sem blindagem - 150k - Contrato 2025</v>
      </c>
      <c r="AW124" s="41" t="str">
        <f>IF(VLOOKUP(N124,'Apólice Endosso'!D:XFD,47,0)=0,"",VLOOKUP(N124,'Apólice Endosso'!D:XFD,47,0))</f>
        <v/>
      </c>
      <c r="AX124" s="40">
        <f>VLOOKUP(N124,'Apólice Endosso'!D:XFD,30,0)</f>
        <v>5050.3500000000004</v>
      </c>
      <c r="AY124" s="36">
        <v>1809.0308599999998</v>
      </c>
      <c r="AZ124" s="16">
        <v>5050.3500000000004</v>
      </c>
      <c r="BA124" s="16"/>
    </row>
    <row r="125" spans="1:53" x14ac:dyDescent="0.3">
      <c r="A125" t="s">
        <v>85</v>
      </c>
      <c r="B125" s="9">
        <v>46136</v>
      </c>
      <c r="C125">
        <v>0</v>
      </c>
      <c r="D125" t="s">
        <v>84</v>
      </c>
      <c r="E125">
        <v>2103</v>
      </c>
      <c r="F125">
        <v>2103</v>
      </c>
      <c r="G125"/>
      <c r="H125"/>
      <c r="J125" t="s">
        <v>470</v>
      </c>
      <c r="K125" t="s">
        <v>471</v>
      </c>
      <c r="L125" t="s">
        <v>478</v>
      </c>
      <c r="M125" t="s">
        <v>86</v>
      </c>
      <c r="N125" t="s">
        <v>479</v>
      </c>
      <c r="O125" t="s">
        <v>87</v>
      </c>
      <c r="P125" t="s">
        <v>89</v>
      </c>
      <c r="Q125" t="s">
        <v>90</v>
      </c>
      <c r="R125">
        <v>2026</v>
      </c>
      <c r="S125">
        <v>2026</v>
      </c>
      <c r="T125" t="s">
        <v>88</v>
      </c>
      <c r="U125">
        <v>85</v>
      </c>
      <c r="V125">
        <v>84669</v>
      </c>
      <c r="W125">
        <v>152.16</v>
      </c>
      <c r="X125">
        <v>420.86</v>
      </c>
      <c r="Y125">
        <v>0</v>
      </c>
      <c r="Z125">
        <v>65.209999999999994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12700.35</v>
      </c>
      <c r="AG125">
        <v>320000</v>
      </c>
      <c r="AH125">
        <v>150000</v>
      </c>
      <c r="AI125">
        <v>0</v>
      </c>
      <c r="AJ125">
        <v>150000</v>
      </c>
      <c r="AK125">
        <v>10000</v>
      </c>
      <c r="AL125">
        <v>10000</v>
      </c>
      <c r="AM125" s="42">
        <v>46113</v>
      </c>
      <c r="AN125" s="42">
        <v>46447</v>
      </c>
      <c r="AO125">
        <v>0</v>
      </c>
      <c r="AP125">
        <v>0</v>
      </c>
      <c r="AQ125">
        <v>0</v>
      </c>
      <c r="AR125" s="8">
        <f t="shared" si="2"/>
        <v>2391.0700000000002</v>
      </c>
      <c r="AS125" s="38">
        <f t="shared" si="3"/>
        <v>1797.2716762</v>
      </c>
      <c r="AT125" s="39" t="s">
        <v>868</v>
      </c>
      <c r="AU125" s="40">
        <f>VLOOKUP(N125,'Apólice Endosso'!D:XFD,23,0)</f>
        <v>0</v>
      </c>
      <c r="AV125" s="39" t="str">
        <f>VLOOKUP(N125,'Apólice Endosso'!D:XFD,28,0)</f>
        <v>Padrão (100%) sem blindagem - 150k - Contrato 2025</v>
      </c>
      <c r="AW125" s="41" t="str">
        <f>IF(VLOOKUP(N125,'Apólice Endosso'!D:XFD,47,0)=0,"",VLOOKUP(N125,'Apólice Endosso'!D:XFD,47,0))</f>
        <v/>
      </c>
      <c r="AX125" s="40">
        <f>VLOOKUP(N125,'Apólice Endosso'!D:XFD,30,0)</f>
        <v>5050.3500000000004</v>
      </c>
      <c r="AY125" s="36">
        <v>1809.0308599999998</v>
      </c>
      <c r="AZ125" s="16">
        <v>5050.3500000000004</v>
      </c>
      <c r="BA125" s="16"/>
    </row>
    <row r="126" spans="1:53" x14ac:dyDescent="0.3">
      <c r="A126" t="s">
        <v>85</v>
      </c>
      <c r="B126" s="9">
        <v>46136</v>
      </c>
      <c r="C126">
        <v>0</v>
      </c>
      <c r="D126" t="s">
        <v>84</v>
      </c>
      <c r="E126">
        <v>2103</v>
      </c>
      <c r="F126">
        <v>2103</v>
      </c>
      <c r="G126"/>
      <c r="H126"/>
      <c r="J126" t="s">
        <v>470</v>
      </c>
      <c r="K126" t="s">
        <v>471</v>
      </c>
      <c r="L126" t="s">
        <v>480</v>
      </c>
      <c r="M126" t="s">
        <v>86</v>
      </c>
      <c r="N126" t="s">
        <v>481</v>
      </c>
      <c r="O126" t="s">
        <v>87</v>
      </c>
      <c r="P126" t="s">
        <v>89</v>
      </c>
      <c r="Q126" t="s">
        <v>90</v>
      </c>
      <c r="R126">
        <v>2026</v>
      </c>
      <c r="S126">
        <v>2026</v>
      </c>
      <c r="T126" t="s">
        <v>88</v>
      </c>
      <c r="U126">
        <v>85</v>
      </c>
      <c r="V126">
        <v>84669</v>
      </c>
      <c r="W126">
        <v>152.16</v>
      </c>
      <c r="X126">
        <v>420.86</v>
      </c>
      <c r="Y126">
        <v>0</v>
      </c>
      <c r="Z126">
        <v>65.209999999999994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12700.35</v>
      </c>
      <c r="AG126">
        <v>320000</v>
      </c>
      <c r="AH126">
        <v>150000</v>
      </c>
      <c r="AI126">
        <v>0</v>
      </c>
      <c r="AJ126">
        <v>150000</v>
      </c>
      <c r="AK126">
        <v>10000</v>
      </c>
      <c r="AL126">
        <v>10000</v>
      </c>
      <c r="AM126" s="42">
        <v>46113</v>
      </c>
      <c r="AN126" s="42">
        <v>46447</v>
      </c>
      <c r="AO126">
        <v>0</v>
      </c>
      <c r="AP126">
        <v>0</v>
      </c>
      <c r="AQ126">
        <v>0</v>
      </c>
      <c r="AR126" s="8">
        <f t="shared" si="2"/>
        <v>2391.0700000000002</v>
      </c>
      <c r="AS126" s="38">
        <f t="shared" si="3"/>
        <v>1797.2716762</v>
      </c>
      <c r="AT126" s="39" t="s">
        <v>868</v>
      </c>
      <c r="AU126" s="40">
        <f>VLOOKUP(N126,'Apólice Endosso'!D:XFD,23,0)</f>
        <v>0</v>
      </c>
      <c r="AV126" s="39" t="str">
        <f>VLOOKUP(N126,'Apólice Endosso'!D:XFD,28,0)</f>
        <v>Padrão (100%) sem blindagem - 150k - Contrato 2025</v>
      </c>
      <c r="AW126" s="41" t="str">
        <f>IF(VLOOKUP(N126,'Apólice Endosso'!D:XFD,47,0)=0,"",VLOOKUP(N126,'Apólice Endosso'!D:XFD,47,0))</f>
        <v/>
      </c>
      <c r="AX126" s="40">
        <f>VLOOKUP(N126,'Apólice Endosso'!D:XFD,30,0)</f>
        <v>5050.3500000000004</v>
      </c>
      <c r="AY126" s="36">
        <v>1809.0308599999998</v>
      </c>
      <c r="AZ126" s="16">
        <v>5050.3500000000004</v>
      </c>
      <c r="BA126" s="16"/>
    </row>
    <row r="127" spans="1:53" x14ac:dyDescent="0.3">
      <c r="A127" t="s">
        <v>85</v>
      </c>
      <c r="B127" s="9">
        <v>46136</v>
      </c>
      <c r="C127">
        <v>0</v>
      </c>
      <c r="D127" t="s">
        <v>84</v>
      </c>
      <c r="E127">
        <v>2103</v>
      </c>
      <c r="F127">
        <v>2103</v>
      </c>
      <c r="G127"/>
      <c r="H127"/>
      <c r="J127" t="s">
        <v>470</v>
      </c>
      <c r="K127" t="s">
        <v>471</v>
      </c>
      <c r="L127" t="s">
        <v>482</v>
      </c>
      <c r="M127" t="s">
        <v>86</v>
      </c>
      <c r="N127" t="s">
        <v>483</v>
      </c>
      <c r="O127" t="s">
        <v>87</v>
      </c>
      <c r="P127" t="s">
        <v>89</v>
      </c>
      <c r="Q127" t="s">
        <v>90</v>
      </c>
      <c r="R127">
        <v>2026</v>
      </c>
      <c r="S127">
        <v>2026</v>
      </c>
      <c r="T127" t="s">
        <v>88</v>
      </c>
      <c r="U127">
        <v>85</v>
      </c>
      <c r="V127">
        <v>84669</v>
      </c>
      <c r="W127">
        <v>152.16</v>
      </c>
      <c r="X127">
        <v>420.86</v>
      </c>
      <c r="Y127">
        <v>0</v>
      </c>
      <c r="Z127">
        <v>65.209999999999994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12700.35</v>
      </c>
      <c r="AG127">
        <v>320000</v>
      </c>
      <c r="AH127">
        <v>150000</v>
      </c>
      <c r="AI127">
        <v>0</v>
      </c>
      <c r="AJ127">
        <v>150000</v>
      </c>
      <c r="AK127">
        <v>10000</v>
      </c>
      <c r="AL127">
        <v>10000</v>
      </c>
      <c r="AM127" s="42">
        <v>46113</v>
      </c>
      <c r="AN127" s="42">
        <v>46447</v>
      </c>
      <c r="AO127">
        <v>0</v>
      </c>
      <c r="AP127">
        <v>0</v>
      </c>
      <c r="AQ127">
        <v>0</v>
      </c>
      <c r="AR127" s="8">
        <f t="shared" si="2"/>
        <v>2391.0700000000002</v>
      </c>
      <c r="AS127" s="38">
        <f t="shared" si="3"/>
        <v>1797.2716762</v>
      </c>
      <c r="AT127" s="39" t="s">
        <v>868</v>
      </c>
      <c r="AU127" s="40">
        <f>VLOOKUP(N127,'Apólice Endosso'!D:XFD,23,0)</f>
        <v>0</v>
      </c>
      <c r="AV127" s="39" t="str">
        <f>VLOOKUP(N127,'Apólice Endosso'!D:XFD,28,0)</f>
        <v>Padrão (100%) sem blindagem - 150k - Contrato 2025</v>
      </c>
      <c r="AW127" s="41" t="str">
        <f>IF(VLOOKUP(N127,'Apólice Endosso'!D:XFD,47,0)=0,"",VLOOKUP(N127,'Apólice Endosso'!D:XFD,47,0))</f>
        <v/>
      </c>
      <c r="AX127" s="40">
        <f>VLOOKUP(N127,'Apólice Endosso'!D:XFD,30,0)</f>
        <v>5050.3500000000004</v>
      </c>
      <c r="AY127" s="36">
        <v>1809.0308599999998</v>
      </c>
      <c r="AZ127" s="16">
        <v>5050.3500000000004</v>
      </c>
      <c r="BA127" s="16"/>
    </row>
    <row r="128" spans="1:53" x14ac:dyDescent="0.3">
      <c r="A128" t="s">
        <v>85</v>
      </c>
      <c r="B128" s="9">
        <v>46136</v>
      </c>
      <c r="C128">
        <v>0</v>
      </c>
      <c r="D128" t="s">
        <v>84</v>
      </c>
      <c r="E128">
        <v>2103</v>
      </c>
      <c r="F128">
        <v>2103</v>
      </c>
      <c r="G128"/>
      <c r="H128"/>
      <c r="J128" t="s">
        <v>470</v>
      </c>
      <c r="K128" t="s">
        <v>471</v>
      </c>
      <c r="L128" t="s">
        <v>484</v>
      </c>
      <c r="M128" t="s">
        <v>86</v>
      </c>
      <c r="N128" t="s">
        <v>485</v>
      </c>
      <c r="O128" t="s">
        <v>87</v>
      </c>
      <c r="P128" t="s">
        <v>89</v>
      </c>
      <c r="Q128" t="s">
        <v>90</v>
      </c>
      <c r="R128">
        <v>2026</v>
      </c>
      <c r="S128">
        <v>2026</v>
      </c>
      <c r="T128" t="s">
        <v>88</v>
      </c>
      <c r="U128">
        <v>85</v>
      </c>
      <c r="V128">
        <v>84669</v>
      </c>
      <c r="W128">
        <v>152.16</v>
      </c>
      <c r="X128">
        <v>420.86</v>
      </c>
      <c r="Y128">
        <v>0</v>
      </c>
      <c r="Z128">
        <v>65.209999999999994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12700.35</v>
      </c>
      <c r="AG128">
        <v>320000</v>
      </c>
      <c r="AH128">
        <v>150000</v>
      </c>
      <c r="AI128">
        <v>0</v>
      </c>
      <c r="AJ128">
        <v>150000</v>
      </c>
      <c r="AK128">
        <v>10000</v>
      </c>
      <c r="AL128">
        <v>10000</v>
      </c>
      <c r="AM128" s="42">
        <v>46113</v>
      </c>
      <c r="AN128" s="42">
        <v>46447</v>
      </c>
      <c r="AO128">
        <v>0</v>
      </c>
      <c r="AP128">
        <v>0</v>
      </c>
      <c r="AQ128">
        <v>0</v>
      </c>
      <c r="AR128" s="8">
        <f t="shared" si="2"/>
        <v>2391.0700000000002</v>
      </c>
      <c r="AS128" s="38">
        <f t="shared" si="3"/>
        <v>1797.2716762</v>
      </c>
      <c r="AT128" s="39" t="s">
        <v>868</v>
      </c>
      <c r="AU128" s="40">
        <f>VLOOKUP(N128,'Apólice Endosso'!D:XFD,23,0)</f>
        <v>0</v>
      </c>
      <c r="AV128" s="39" t="str">
        <f>VLOOKUP(N128,'Apólice Endosso'!D:XFD,28,0)</f>
        <v>Padrão (100%) sem blindagem - 150k - Contrato 2025</v>
      </c>
      <c r="AW128" s="41" t="str">
        <f>IF(VLOOKUP(N128,'Apólice Endosso'!D:XFD,47,0)=0,"",VLOOKUP(N128,'Apólice Endosso'!D:XFD,47,0))</f>
        <v/>
      </c>
      <c r="AX128" s="40">
        <f>VLOOKUP(N128,'Apólice Endosso'!D:XFD,30,0)</f>
        <v>5050.3500000000004</v>
      </c>
      <c r="AY128" s="36">
        <v>1809.0308599999998</v>
      </c>
      <c r="AZ128" s="16">
        <v>5050.3500000000004</v>
      </c>
      <c r="BA128" s="16"/>
    </row>
    <row r="129" spans="1:53" x14ac:dyDescent="0.3">
      <c r="A129" t="s">
        <v>85</v>
      </c>
      <c r="B129" s="9">
        <v>46136</v>
      </c>
      <c r="C129">
        <v>0</v>
      </c>
      <c r="D129" t="s">
        <v>84</v>
      </c>
      <c r="E129">
        <v>2103</v>
      </c>
      <c r="F129">
        <v>2103</v>
      </c>
      <c r="G129"/>
      <c r="H129"/>
      <c r="J129" t="s">
        <v>470</v>
      </c>
      <c r="K129" t="s">
        <v>471</v>
      </c>
      <c r="L129" t="s">
        <v>486</v>
      </c>
      <c r="M129" t="s">
        <v>86</v>
      </c>
      <c r="N129" t="s">
        <v>487</v>
      </c>
      <c r="O129" t="s">
        <v>87</v>
      </c>
      <c r="P129" t="s">
        <v>89</v>
      </c>
      <c r="Q129" t="s">
        <v>90</v>
      </c>
      <c r="R129">
        <v>2026</v>
      </c>
      <c r="S129">
        <v>2026</v>
      </c>
      <c r="T129" t="s">
        <v>88</v>
      </c>
      <c r="U129">
        <v>85</v>
      </c>
      <c r="V129">
        <v>84669</v>
      </c>
      <c r="W129">
        <v>152.16</v>
      </c>
      <c r="X129">
        <v>420.86</v>
      </c>
      <c r="Y129">
        <v>0</v>
      </c>
      <c r="Z129">
        <v>65.209999999999994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12700.35</v>
      </c>
      <c r="AG129">
        <v>320000</v>
      </c>
      <c r="AH129">
        <v>150000</v>
      </c>
      <c r="AI129">
        <v>0</v>
      </c>
      <c r="AJ129">
        <v>150000</v>
      </c>
      <c r="AK129">
        <v>10000</v>
      </c>
      <c r="AL129">
        <v>10000</v>
      </c>
      <c r="AM129" s="42">
        <v>46113</v>
      </c>
      <c r="AN129" s="42">
        <v>46447</v>
      </c>
      <c r="AO129">
        <v>0</v>
      </c>
      <c r="AP129">
        <v>0</v>
      </c>
      <c r="AQ129">
        <v>0</v>
      </c>
      <c r="AR129" s="8">
        <f t="shared" si="2"/>
        <v>2391.0700000000002</v>
      </c>
      <c r="AS129" s="38">
        <f t="shared" si="3"/>
        <v>1797.2716762</v>
      </c>
      <c r="AT129" s="39" t="s">
        <v>868</v>
      </c>
      <c r="AU129" s="40">
        <f>VLOOKUP(N129,'Apólice Endosso'!D:XFD,23,0)</f>
        <v>0</v>
      </c>
      <c r="AV129" s="39" t="str">
        <f>VLOOKUP(N129,'Apólice Endosso'!D:XFD,28,0)</f>
        <v>Padrão (100%) sem blindagem - 150k - Contrato 2025</v>
      </c>
      <c r="AW129" s="41" t="str">
        <f>IF(VLOOKUP(N129,'Apólice Endosso'!D:XFD,47,0)=0,"",VLOOKUP(N129,'Apólice Endosso'!D:XFD,47,0))</f>
        <v/>
      </c>
      <c r="AX129" s="40">
        <f>VLOOKUP(N129,'Apólice Endosso'!D:XFD,30,0)</f>
        <v>5050.3500000000004</v>
      </c>
      <c r="AY129" s="36">
        <v>1809.0308599999998</v>
      </c>
      <c r="AZ129" s="16">
        <v>5050.3500000000004</v>
      </c>
      <c r="BA129" s="16"/>
    </row>
    <row r="130" spans="1:53" x14ac:dyDescent="0.3">
      <c r="A130" t="s">
        <v>85</v>
      </c>
      <c r="B130" s="9">
        <v>46136</v>
      </c>
      <c r="C130">
        <v>0</v>
      </c>
      <c r="D130" t="s">
        <v>84</v>
      </c>
      <c r="E130">
        <v>2103</v>
      </c>
      <c r="F130">
        <v>2103</v>
      </c>
      <c r="G130"/>
      <c r="H130"/>
      <c r="J130" t="s">
        <v>470</v>
      </c>
      <c r="K130" t="s">
        <v>471</v>
      </c>
      <c r="L130" t="s">
        <v>488</v>
      </c>
      <c r="M130" t="s">
        <v>86</v>
      </c>
      <c r="N130" t="s">
        <v>489</v>
      </c>
      <c r="O130" t="s">
        <v>87</v>
      </c>
      <c r="P130" t="s">
        <v>89</v>
      </c>
      <c r="Q130" t="s">
        <v>90</v>
      </c>
      <c r="R130">
        <v>2026</v>
      </c>
      <c r="S130">
        <v>2026</v>
      </c>
      <c r="T130" t="s">
        <v>88</v>
      </c>
      <c r="U130">
        <v>85</v>
      </c>
      <c r="V130">
        <v>84669</v>
      </c>
      <c r="W130">
        <v>152.16</v>
      </c>
      <c r="X130">
        <v>420.86</v>
      </c>
      <c r="Y130">
        <v>0</v>
      </c>
      <c r="Z130">
        <v>65.209999999999994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12700.35</v>
      </c>
      <c r="AG130">
        <v>320000</v>
      </c>
      <c r="AH130">
        <v>150000</v>
      </c>
      <c r="AI130">
        <v>0</v>
      </c>
      <c r="AJ130">
        <v>150000</v>
      </c>
      <c r="AK130">
        <v>10000</v>
      </c>
      <c r="AL130">
        <v>10000</v>
      </c>
      <c r="AM130" s="42">
        <v>46113</v>
      </c>
      <c r="AN130" s="42">
        <v>46447</v>
      </c>
      <c r="AO130">
        <v>0</v>
      </c>
      <c r="AP130">
        <v>0</v>
      </c>
      <c r="AQ130">
        <v>0</v>
      </c>
      <c r="AR130" s="8">
        <f t="shared" si="2"/>
        <v>2391.0700000000002</v>
      </c>
      <c r="AS130" s="38">
        <f t="shared" si="3"/>
        <v>1797.2716762</v>
      </c>
      <c r="AT130" s="39" t="s">
        <v>868</v>
      </c>
      <c r="AU130" s="40">
        <f>VLOOKUP(N130,'Apólice Endosso'!D:XFD,23,0)</f>
        <v>0</v>
      </c>
      <c r="AV130" s="39" t="str">
        <f>VLOOKUP(N130,'Apólice Endosso'!D:XFD,28,0)</f>
        <v>Padrão (100%) sem blindagem - 150k - Contrato 2025</v>
      </c>
      <c r="AW130" s="41" t="str">
        <f>IF(VLOOKUP(N130,'Apólice Endosso'!D:XFD,47,0)=0,"",VLOOKUP(N130,'Apólice Endosso'!D:XFD,47,0))</f>
        <v/>
      </c>
      <c r="AX130" s="40">
        <f>VLOOKUP(N130,'Apólice Endosso'!D:XFD,30,0)</f>
        <v>5050.3500000000004</v>
      </c>
      <c r="AY130" s="36">
        <v>1809.0308599999998</v>
      </c>
      <c r="AZ130" s="16">
        <v>5050.3500000000004</v>
      </c>
      <c r="BA130" s="16"/>
    </row>
    <row r="131" spans="1:53" x14ac:dyDescent="0.3">
      <c r="A131" t="s">
        <v>85</v>
      </c>
      <c r="B131" s="9">
        <v>46136</v>
      </c>
      <c r="C131">
        <v>0</v>
      </c>
      <c r="D131" t="s">
        <v>84</v>
      </c>
      <c r="E131">
        <v>2103</v>
      </c>
      <c r="F131">
        <v>2103</v>
      </c>
      <c r="G131"/>
      <c r="H131"/>
      <c r="J131" t="s">
        <v>470</v>
      </c>
      <c r="K131" t="s">
        <v>471</v>
      </c>
      <c r="L131" t="s">
        <v>490</v>
      </c>
      <c r="M131" t="s">
        <v>86</v>
      </c>
      <c r="N131" t="s">
        <v>491</v>
      </c>
      <c r="O131" t="s">
        <v>87</v>
      </c>
      <c r="P131" t="s">
        <v>89</v>
      </c>
      <c r="Q131" t="s">
        <v>90</v>
      </c>
      <c r="R131">
        <v>2026</v>
      </c>
      <c r="S131">
        <v>2026</v>
      </c>
      <c r="T131" t="s">
        <v>88</v>
      </c>
      <c r="U131">
        <v>85</v>
      </c>
      <c r="V131">
        <v>84669</v>
      </c>
      <c r="W131">
        <v>152.16</v>
      </c>
      <c r="X131">
        <v>420.86</v>
      </c>
      <c r="Y131">
        <v>0</v>
      </c>
      <c r="Z131">
        <v>65.209999999999994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12700.35</v>
      </c>
      <c r="AG131">
        <v>320000</v>
      </c>
      <c r="AH131">
        <v>150000</v>
      </c>
      <c r="AI131">
        <v>0</v>
      </c>
      <c r="AJ131">
        <v>150000</v>
      </c>
      <c r="AK131">
        <v>10000</v>
      </c>
      <c r="AL131">
        <v>10000</v>
      </c>
      <c r="AM131" s="42">
        <v>46113</v>
      </c>
      <c r="AN131" s="42">
        <v>46447</v>
      </c>
      <c r="AO131">
        <v>0</v>
      </c>
      <c r="AP131">
        <v>0</v>
      </c>
      <c r="AQ131">
        <v>0</v>
      </c>
      <c r="AR131" s="8">
        <f t="shared" si="2"/>
        <v>2391.0700000000002</v>
      </c>
      <c r="AS131" s="38">
        <f t="shared" si="3"/>
        <v>1797.2716762</v>
      </c>
      <c r="AT131" s="39" t="s">
        <v>868</v>
      </c>
      <c r="AU131" s="40">
        <f>VLOOKUP(N131,'Apólice Endosso'!D:XFD,23,0)</f>
        <v>0</v>
      </c>
      <c r="AV131" s="39" t="str">
        <f>VLOOKUP(N131,'Apólice Endosso'!D:XFD,28,0)</f>
        <v>Padrão (100%) sem blindagem - 150k - Contrato 2025</v>
      </c>
      <c r="AW131" s="41" t="str">
        <f>IF(VLOOKUP(N131,'Apólice Endosso'!D:XFD,47,0)=0,"",VLOOKUP(N131,'Apólice Endosso'!D:XFD,47,0))</f>
        <v/>
      </c>
      <c r="AX131" s="40">
        <f>VLOOKUP(N131,'Apólice Endosso'!D:XFD,30,0)</f>
        <v>5050.3500000000004</v>
      </c>
      <c r="AY131" s="36">
        <v>1809.0308599999998</v>
      </c>
      <c r="AZ131" s="16">
        <v>5050.3500000000004</v>
      </c>
      <c r="BA131" s="16"/>
    </row>
    <row r="132" spans="1:53" x14ac:dyDescent="0.3">
      <c r="A132" t="s">
        <v>85</v>
      </c>
      <c r="B132" s="9">
        <v>46136</v>
      </c>
      <c r="C132">
        <v>0</v>
      </c>
      <c r="D132" t="s">
        <v>84</v>
      </c>
      <c r="E132">
        <v>2103</v>
      </c>
      <c r="F132">
        <v>2103</v>
      </c>
      <c r="G132"/>
      <c r="H132"/>
      <c r="J132" t="s">
        <v>470</v>
      </c>
      <c r="K132" t="s">
        <v>471</v>
      </c>
      <c r="L132" t="s">
        <v>492</v>
      </c>
      <c r="M132" t="s">
        <v>86</v>
      </c>
      <c r="N132" t="s">
        <v>493</v>
      </c>
      <c r="O132" t="s">
        <v>87</v>
      </c>
      <c r="P132" t="s">
        <v>89</v>
      </c>
      <c r="Q132" t="s">
        <v>90</v>
      </c>
      <c r="R132">
        <v>2026</v>
      </c>
      <c r="S132">
        <v>2026</v>
      </c>
      <c r="T132" t="s">
        <v>88</v>
      </c>
      <c r="U132">
        <v>85</v>
      </c>
      <c r="V132">
        <v>84669</v>
      </c>
      <c r="W132">
        <v>152.16</v>
      </c>
      <c r="X132">
        <v>420.86</v>
      </c>
      <c r="Y132">
        <v>0</v>
      </c>
      <c r="Z132">
        <v>65.209999999999994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12700.35</v>
      </c>
      <c r="AG132">
        <v>320000</v>
      </c>
      <c r="AH132">
        <v>150000</v>
      </c>
      <c r="AI132">
        <v>0</v>
      </c>
      <c r="AJ132">
        <v>150000</v>
      </c>
      <c r="AK132">
        <v>10000</v>
      </c>
      <c r="AL132">
        <v>10000</v>
      </c>
      <c r="AM132" s="42">
        <v>46113</v>
      </c>
      <c r="AN132" s="42">
        <v>46447</v>
      </c>
      <c r="AO132">
        <v>0</v>
      </c>
      <c r="AP132">
        <v>0</v>
      </c>
      <c r="AQ132">
        <v>0</v>
      </c>
      <c r="AR132" s="8">
        <f t="shared" ref="AR132:AR195" si="4">((W132+Z132)*11)</f>
        <v>2391.0700000000002</v>
      </c>
      <c r="AS132" s="38">
        <f t="shared" ref="AS132:AS194" si="5">(AR132*70%)+((AR132*70%)*7.38%)</f>
        <v>1797.2716762</v>
      </c>
      <c r="AT132" s="39" t="s">
        <v>868</v>
      </c>
      <c r="AU132" s="40">
        <f>VLOOKUP(N132,'Apólice Endosso'!D:XFD,23,0)</f>
        <v>0</v>
      </c>
      <c r="AV132" s="39" t="str">
        <f>VLOOKUP(N132,'Apólice Endosso'!D:XFD,28,0)</f>
        <v>Padrão (100%) sem blindagem - 150k - Contrato 2025</v>
      </c>
      <c r="AW132" s="41" t="str">
        <f>IF(VLOOKUP(N132,'Apólice Endosso'!D:XFD,47,0)=0,"",VLOOKUP(N132,'Apólice Endosso'!D:XFD,47,0))</f>
        <v/>
      </c>
      <c r="AX132" s="40">
        <f>VLOOKUP(N132,'Apólice Endosso'!D:XFD,30,0)</f>
        <v>5050.3500000000004</v>
      </c>
      <c r="AY132" s="36">
        <v>1809.0308599999998</v>
      </c>
      <c r="AZ132" s="16">
        <v>5050.3500000000004</v>
      </c>
      <c r="BA132" s="16"/>
    </row>
    <row r="133" spans="1:53" x14ac:dyDescent="0.3">
      <c r="A133" t="s">
        <v>85</v>
      </c>
      <c r="B133" s="9">
        <v>46136</v>
      </c>
      <c r="C133">
        <v>0</v>
      </c>
      <c r="D133" t="s">
        <v>84</v>
      </c>
      <c r="E133">
        <v>2103</v>
      </c>
      <c r="F133">
        <v>2103</v>
      </c>
      <c r="G133"/>
      <c r="H133"/>
      <c r="J133" t="s">
        <v>470</v>
      </c>
      <c r="K133" t="s">
        <v>471</v>
      </c>
      <c r="L133" t="s">
        <v>494</v>
      </c>
      <c r="M133" t="s">
        <v>86</v>
      </c>
      <c r="N133" t="s">
        <v>495</v>
      </c>
      <c r="O133" t="s">
        <v>87</v>
      </c>
      <c r="P133" t="s">
        <v>89</v>
      </c>
      <c r="Q133" t="s">
        <v>90</v>
      </c>
      <c r="R133">
        <v>2026</v>
      </c>
      <c r="S133">
        <v>2026</v>
      </c>
      <c r="T133" t="s">
        <v>88</v>
      </c>
      <c r="U133">
        <v>85</v>
      </c>
      <c r="V133">
        <v>84669</v>
      </c>
      <c r="W133">
        <v>152.16</v>
      </c>
      <c r="X133">
        <v>420.86</v>
      </c>
      <c r="Y133">
        <v>0</v>
      </c>
      <c r="Z133">
        <v>65.209999999999994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12700.35</v>
      </c>
      <c r="AG133">
        <v>320000</v>
      </c>
      <c r="AH133">
        <v>150000</v>
      </c>
      <c r="AI133">
        <v>0</v>
      </c>
      <c r="AJ133">
        <v>150000</v>
      </c>
      <c r="AK133">
        <v>10000</v>
      </c>
      <c r="AL133">
        <v>10000</v>
      </c>
      <c r="AM133" s="42">
        <v>46113</v>
      </c>
      <c r="AN133" s="42">
        <v>46447</v>
      </c>
      <c r="AO133">
        <v>0</v>
      </c>
      <c r="AP133">
        <v>0</v>
      </c>
      <c r="AQ133">
        <v>0</v>
      </c>
      <c r="AR133" s="8">
        <f t="shared" si="4"/>
        <v>2391.0700000000002</v>
      </c>
      <c r="AS133" s="38">
        <f t="shared" si="5"/>
        <v>1797.2716762</v>
      </c>
      <c r="AT133" s="39" t="s">
        <v>868</v>
      </c>
      <c r="AU133" s="40">
        <f>VLOOKUP(N133,'Apólice Endosso'!D:XFD,23,0)</f>
        <v>0</v>
      </c>
      <c r="AV133" s="39" t="str">
        <f>VLOOKUP(N133,'Apólice Endosso'!D:XFD,28,0)</f>
        <v>Padrão (100%) sem blindagem - 150k - Contrato 2025</v>
      </c>
      <c r="AW133" s="41" t="str">
        <f>IF(VLOOKUP(N133,'Apólice Endosso'!D:XFD,47,0)=0,"",VLOOKUP(N133,'Apólice Endosso'!D:XFD,47,0))</f>
        <v/>
      </c>
      <c r="AX133" s="40">
        <f>VLOOKUP(N133,'Apólice Endosso'!D:XFD,30,0)</f>
        <v>5050.3500000000004</v>
      </c>
      <c r="AY133" s="36">
        <v>1809.0308599999998</v>
      </c>
      <c r="AZ133" s="16">
        <v>5050.3500000000004</v>
      </c>
      <c r="BA133" s="16"/>
    </row>
    <row r="134" spans="1:53" x14ac:dyDescent="0.3">
      <c r="A134" t="s">
        <v>85</v>
      </c>
      <c r="B134" s="9">
        <v>46136</v>
      </c>
      <c r="C134">
        <v>0</v>
      </c>
      <c r="D134" t="s">
        <v>84</v>
      </c>
      <c r="E134">
        <v>2103</v>
      </c>
      <c r="F134">
        <v>2103</v>
      </c>
      <c r="G134"/>
      <c r="H134"/>
      <c r="J134" t="s">
        <v>470</v>
      </c>
      <c r="K134" t="s">
        <v>471</v>
      </c>
      <c r="L134" t="s">
        <v>496</v>
      </c>
      <c r="M134" t="s">
        <v>86</v>
      </c>
      <c r="N134" t="s">
        <v>497</v>
      </c>
      <c r="O134" t="s">
        <v>87</v>
      </c>
      <c r="P134" t="s">
        <v>89</v>
      </c>
      <c r="Q134" t="s">
        <v>90</v>
      </c>
      <c r="R134">
        <v>2026</v>
      </c>
      <c r="S134">
        <v>2026</v>
      </c>
      <c r="T134" t="s">
        <v>88</v>
      </c>
      <c r="U134">
        <v>85</v>
      </c>
      <c r="V134">
        <v>84669</v>
      </c>
      <c r="W134">
        <v>152.16</v>
      </c>
      <c r="X134">
        <v>420.86</v>
      </c>
      <c r="Y134">
        <v>0</v>
      </c>
      <c r="Z134">
        <v>65.209999999999994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12700.35</v>
      </c>
      <c r="AG134">
        <v>320000</v>
      </c>
      <c r="AH134">
        <v>150000</v>
      </c>
      <c r="AI134">
        <v>0</v>
      </c>
      <c r="AJ134">
        <v>150000</v>
      </c>
      <c r="AK134">
        <v>10000</v>
      </c>
      <c r="AL134">
        <v>10000</v>
      </c>
      <c r="AM134" s="42">
        <v>46113</v>
      </c>
      <c r="AN134" s="42">
        <v>46447</v>
      </c>
      <c r="AO134">
        <v>0</v>
      </c>
      <c r="AP134">
        <v>0</v>
      </c>
      <c r="AQ134">
        <v>0</v>
      </c>
      <c r="AR134" s="8">
        <f t="shared" si="4"/>
        <v>2391.0700000000002</v>
      </c>
      <c r="AS134" s="38">
        <f t="shared" si="5"/>
        <v>1797.2716762</v>
      </c>
      <c r="AT134" s="39" t="s">
        <v>868</v>
      </c>
      <c r="AU134" s="40">
        <f>VLOOKUP(N134,'Apólice Endosso'!D:XFD,23,0)</f>
        <v>0</v>
      </c>
      <c r="AV134" s="39" t="str">
        <f>VLOOKUP(N134,'Apólice Endosso'!D:XFD,28,0)</f>
        <v>Padrão (100%) sem blindagem - 150k - Contrato 2025</v>
      </c>
      <c r="AW134" s="41" t="str">
        <f>IF(VLOOKUP(N134,'Apólice Endosso'!D:XFD,47,0)=0,"",VLOOKUP(N134,'Apólice Endosso'!D:XFD,47,0))</f>
        <v/>
      </c>
      <c r="AX134" s="40">
        <f>VLOOKUP(N134,'Apólice Endosso'!D:XFD,30,0)</f>
        <v>5050.3500000000004</v>
      </c>
      <c r="AY134" s="36">
        <v>1809.0308599999998</v>
      </c>
      <c r="AZ134" s="16">
        <v>5050.3500000000004</v>
      </c>
      <c r="BA134" s="16"/>
    </row>
    <row r="135" spans="1:53" x14ac:dyDescent="0.3">
      <c r="A135" t="s">
        <v>85</v>
      </c>
      <c r="B135" s="9">
        <v>46136</v>
      </c>
      <c r="C135">
        <v>0</v>
      </c>
      <c r="D135" t="s">
        <v>84</v>
      </c>
      <c r="E135">
        <v>2103</v>
      </c>
      <c r="F135">
        <v>2103</v>
      </c>
      <c r="G135"/>
      <c r="H135"/>
      <c r="J135" t="s">
        <v>470</v>
      </c>
      <c r="K135" t="s">
        <v>471</v>
      </c>
      <c r="L135" t="s">
        <v>498</v>
      </c>
      <c r="M135" t="s">
        <v>86</v>
      </c>
      <c r="N135" t="s">
        <v>499</v>
      </c>
      <c r="O135" t="s">
        <v>87</v>
      </c>
      <c r="P135" t="s">
        <v>89</v>
      </c>
      <c r="Q135" t="s">
        <v>90</v>
      </c>
      <c r="R135">
        <v>2026</v>
      </c>
      <c r="S135">
        <v>2026</v>
      </c>
      <c r="T135" t="s">
        <v>88</v>
      </c>
      <c r="U135">
        <v>85</v>
      </c>
      <c r="V135">
        <v>84669</v>
      </c>
      <c r="W135">
        <v>152.16</v>
      </c>
      <c r="X135">
        <v>420.86</v>
      </c>
      <c r="Y135">
        <v>0</v>
      </c>
      <c r="Z135">
        <v>65.209999999999994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12700.35</v>
      </c>
      <c r="AG135">
        <v>320000</v>
      </c>
      <c r="AH135">
        <v>150000</v>
      </c>
      <c r="AI135">
        <v>0</v>
      </c>
      <c r="AJ135">
        <v>150000</v>
      </c>
      <c r="AK135">
        <v>10000</v>
      </c>
      <c r="AL135">
        <v>10000</v>
      </c>
      <c r="AM135" s="42">
        <v>46113</v>
      </c>
      <c r="AN135" s="42">
        <v>46447</v>
      </c>
      <c r="AO135">
        <v>0</v>
      </c>
      <c r="AP135">
        <v>0</v>
      </c>
      <c r="AQ135">
        <v>0</v>
      </c>
      <c r="AR135" s="8">
        <f t="shared" si="4"/>
        <v>2391.0700000000002</v>
      </c>
      <c r="AS135" s="38">
        <f t="shared" si="5"/>
        <v>1797.2716762</v>
      </c>
      <c r="AT135" s="39" t="s">
        <v>868</v>
      </c>
      <c r="AU135" s="40">
        <f>VLOOKUP(N135,'Apólice Endosso'!D:XFD,23,0)</f>
        <v>0</v>
      </c>
      <c r="AV135" s="39" t="str">
        <f>VLOOKUP(N135,'Apólice Endosso'!D:XFD,28,0)</f>
        <v>Padrão (100%) sem blindagem - 150k - Contrato 2025</v>
      </c>
      <c r="AW135" s="41" t="str">
        <f>IF(VLOOKUP(N135,'Apólice Endosso'!D:XFD,47,0)=0,"",VLOOKUP(N135,'Apólice Endosso'!D:XFD,47,0))</f>
        <v/>
      </c>
      <c r="AX135" s="40">
        <f>VLOOKUP(N135,'Apólice Endosso'!D:XFD,30,0)</f>
        <v>5050.3500000000004</v>
      </c>
      <c r="AY135" s="36">
        <v>1809.0308599999998</v>
      </c>
      <c r="AZ135" s="16">
        <v>5050.3500000000004</v>
      </c>
      <c r="BA135" s="16"/>
    </row>
    <row r="136" spans="1:53" x14ac:dyDescent="0.3">
      <c r="A136" t="s">
        <v>85</v>
      </c>
      <c r="B136" s="9">
        <v>46136</v>
      </c>
      <c r="C136">
        <v>0</v>
      </c>
      <c r="D136" t="s">
        <v>84</v>
      </c>
      <c r="E136">
        <v>2103</v>
      </c>
      <c r="F136">
        <v>2103</v>
      </c>
      <c r="G136"/>
      <c r="H136"/>
      <c r="J136" t="s">
        <v>470</v>
      </c>
      <c r="K136" t="s">
        <v>471</v>
      </c>
      <c r="L136" t="s">
        <v>500</v>
      </c>
      <c r="M136" t="s">
        <v>86</v>
      </c>
      <c r="N136" t="s">
        <v>501</v>
      </c>
      <c r="O136" t="s">
        <v>87</v>
      </c>
      <c r="P136" t="s">
        <v>89</v>
      </c>
      <c r="Q136" t="s">
        <v>90</v>
      </c>
      <c r="R136">
        <v>2026</v>
      </c>
      <c r="S136">
        <v>2026</v>
      </c>
      <c r="T136" t="s">
        <v>88</v>
      </c>
      <c r="U136">
        <v>85</v>
      </c>
      <c r="V136">
        <v>84669</v>
      </c>
      <c r="W136">
        <v>152.16</v>
      </c>
      <c r="X136">
        <v>420.86</v>
      </c>
      <c r="Y136">
        <v>0</v>
      </c>
      <c r="Z136">
        <v>65.209999999999994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12700.35</v>
      </c>
      <c r="AG136">
        <v>320000</v>
      </c>
      <c r="AH136">
        <v>150000</v>
      </c>
      <c r="AI136">
        <v>0</v>
      </c>
      <c r="AJ136">
        <v>150000</v>
      </c>
      <c r="AK136">
        <v>10000</v>
      </c>
      <c r="AL136">
        <v>10000</v>
      </c>
      <c r="AM136" s="42">
        <v>46113</v>
      </c>
      <c r="AN136" s="42">
        <v>46447</v>
      </c>
      <c r="AO136">
        <v>0</v>
      </c>
      <c r="AP136">
        <v>0</v>
      </c>
      <c r="AQ136">
        <v>0</v>
      </c>
      <c r="AR136" s="8">
        <f t="shared" si="4"/>
        <v>2391.0700000000002</v>
      </c>
      <c r="AS136" s="38">
        <f t="shared" si="5"/>
        <v>1797.2716762</v>
      </c>
      <c r="AT136" s="39" t="s">
        <v>868</v>
      </c>
      <c r="AU136" s="40">
        <f>VLOOKUP(N136,'Apólice Endosso'!D:XFD,23,0)</f>
        <v>0</v>
      </c>
      <c r="AV136" s="39" t="str">
        <f>VLOOKUP(N136,'Apólice Endosso'!D:XFD,28,0)</f>
        <v>Padrão (100%) sem blindagem - 150k - Contrato 2025</v>
      </c>
      <c r="AW136" s="41" t="str">
        <f>IF(VLOOKUP(N136,'Apólice Endosso'!D:XFD,47,0)=0,"",VLOOKUP(N136,'Apólice Endosso'!D:XFD,47,0))</f>
        <v/>
      </c>
      <c r="AX136" s="40">
        <f>VLOOKUP(N136,'Apólice Endosso'!D:XFD,30,0)</f>
        <v>5050.3500000000004</v>
      </c>
      <c r="AY136" s="36">
        <v>1809.0308599999998</v>
      </c>
      <c r="AZ136" s="16">
        <v>5050.3500000000004</v>
      </c>
      <c r="BA136" s="16"/>
    </row>
    <row r="137" spans="1:53" x14ac:dyDescent="0.3">
      <c r="A137" t="s">
        <v>85</v>
      </c>
      <c r="B137" s="9">
        <v>46136</v>
      </c>
      <c r="C137">
        <v>0</v>
      </c>
      <c r="D137" t="s">
        <v>84</v>
      </c>
      <c r="E137">
        <v>2103</v>
      </c>
      <c r="F137">
        <v>2103</v>
      </c>
      <c r="G137"/>
      <c r="H137"/>
      <c r="J137" t="s">
        <v>470</v>
      </c>
      <c r="K137" t="s">
        <v>471</v>
      </c>
      <c r="L137" t="s">
        <v>502</v>
      </c>
      <c r="M137" t="s">
        <v>86</v>
      </c>
      <c r="N137" t="s">
        <v>503</v>
      </c>
      <c r="O137" t="s">
        <v>87</v>
      </c>
      <c r="P137" t="s">
        <v>89</v>
      </c>
      <c r="Q137" t="s">
        <v>90</v>
      </c>
      <c r="R137">
        <v>2026</v>
      </c>
      <c r="S137">
        <v>2026</v>
      </c>
      <c r="T137" t="s">
        <v>88</v>
      </c>
      <c r="U137">
        <v>85</v>
      </c>
      <c r="V137">
        <v>84669</v>
      </c>
      <c r="W137">
        <v>152.16</v>
      </c>
      <c r="X137">
        <v>420.86</v>
      </c>
      <c r="Y137">
        <v>0</v>
      </c>
      <c r="Z137">
        <v>65.209999999999994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12700.35</v>
      </c>
      <c r="AG137">
        <v>320000</v>
      </c>
      <c r="AH137">
        <v>150000</v>
      </c>
      <c r="AI137">
        <v>0</v>
      </c>
      <c r="AJ137">
        <v>150000</v>
      </c>
      <c r="AK137">
        <v>10000</v>
      </c>
      <c r="AL137">
        <v>10000</v>
      </c>
      <c r="AM137" s="42">
        <v>46113</v>
      </c>
      <c r="AN137" s="42">
        <v>46447</v>
      </c>
      <c r="AO137">
        <v>0</v>
      </c>
      <c r="AP137">
        <v>0</v>
      </c>
      <c r="AQ137">
        <v>0</v>
      </c>
      <c r="AR137" s="8">
        <f t="shared" si="4"/>
        <v>2391.0700000000002</v>
      </c>
      <c r="AS137" s="38">
        <f t="shared" si="5"/>
        <v>1797.2716762</v>
      </c>
      <c r="AT137" s="39" t="s">
        <v>868</v>
      </c>
      <c r="AU137" s="40">
        <f>VLOOKUP(N137,'Apólice Endosso'!D:XFD,23,0)</f>
        <v>0</v>
      </c>
      <c r="AV137" s="39" t="str">
        <f>VLOOKUP(N137,'Apólice Endosso'!D:XFD,28,0)</f>
        <v>Padrão (100%) sem blindagem - 150k - Contrato 2025</v>
      </c>
      <c r="AW137" s="41" t="str">
        <f>IF(VLOOKUP(N137,'Apólice Endosso'!D:XFD,47,0)=0,"",VLOOKUP(N137,'Apólice Endosso'!D:XFD,47,0))</f>
        <v/>
      </c>
      <c r="AX137" s="40">
        <f>VLOOKUP(N137,'Apólice Endosso'!D:XFD,30,0)</f>
        <v>5050.3500000000004</v>
      </c>
      <c r="AY137" s="36">
        <v>1809.0308599999998</v>
      </c>
      <c r="AZ137" s="16">
        <v>5050.3500000000004</v>
      </c>
      <c r="BA137" s="16"/>
    </row>
    <row r="138" spans="1:53" x14ac:dyDescent="0.3">
      <c r="A138" t="s">
        <v>85</v>
      </c>
      <c r="B138" s="9">
        <v>46136</v>
      </c>
      <c r="C138">
        <v>0</v>
      </c>
      <c r="D138" t="s">
        <v>84</v>
      </c>
      <c r="E138">
        <v>2103</v>
      </c>
      <c r="F138">
        <v>2103</v>
      </c>
      <c r="G138"/>
      <c r="H138"/>
      <c r="J138" t="s">
        <v>470</v>
      </c>
      <c r="K138" t="s">
        <v>471</v>
      </c>
      <c r="L138" t="s">
        <v>504</v>
      </c>
      <c r="M138" t="s">
        <v>86</v>
      </c>
      <c r="N138" t="s">
        <v>505</v>
      </c>
      <c r="O138" t="s">
        <v>87</v>
      </c>
      <c r="P138" t="s">
        <v>89</v>
      </c>
      <c r="Q138" t="s">
        <v>90</v>
      </c>
      <c r="R138">
        <v>2026</v>
      </c>
      <c r="S138">
        <v>2026</v>
      </c>
      <c r="T138" t="s">
        <v>88</v>
      </c>
      <c r="U138">
        <v>85</v>
      </c>
      <c r="V138">
        <v>84669</v>
      </c>
      <c r="W138">
        <v>152.16</v>
      </c>
      <c r="X138">
        <v>420.86</v>
      </c>
      <c r="Y138">
        <v>0</v>
      </c>
      <c r="Z138">
        <v>65.209999999999994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12700.35</v>
      </c>
      <c r="AG138">
        <v>320000</v>
      </c>
      <c r="AH138">
        <v>150000</v>
      </c>
      <c r="AI138">
        <v>0</v>
      </c>
      <c r="AJ138">
        <v>150000</v>
      </c>
      <c r="AK138">
        <v>10000</v>
      </c>
      <c r="AL138">
        <v>10000</v>
      </c>
      <c r="AM138" s="42">
        <v>46113</v>
      </c>
      <c r="AN138" s="42">
        <v>46447</v>
      </c>
      <c r="AO138">
        <v>0</v>
      </c>
      <c r="AP138">
        <v>0</v>
      </c>
      <c r="AQ138">
        <v>0</v>
      </c>
      <c r="AR138" s="8">
        <f t="shared" si="4"/>
        <v>2391.0700000000002</v>
      </c>
      <c r="AS138" s="38">
        <f t="shared" si="5"/>
        <v>1797.2716762</v>
      </c>
      <c r="AT138" s="39" t="s">
        <v>868</v>
      </c>
      <c r="AU138" s="40">
        <f>VLOOKUP(N138,'Apólice Endosso'!D:XFD,23,0)</f>
        <v>0</v>
      </c>
      <c r="AV138" s="39" t="str">
        <f>VLOOKUP(N138,'Apólice Endosso'!D:XFD,28,0)</f>
        <v>Padrão (100%) sem blindagem - 150k - Contrato 2025</v>
      </c>
      <c r="AW138" s="41" t="str">
        <f>IF(VLOOKUP(N138,'Apólice Endosso'!D:XFD,47,0)=0,"",VLOOKUP(N138,'Apólice Endosso'!D:XFD,47,0))</f>
        <v/>
      </c>
      <c r="AX138" s="40">
        <f>VLOOKUP(N138,'Apólice Endosso'!D:XFD,30,0)</f>
        <v>5050.3500000000004</v>
      </c>
      <c r="AY138" s="36">
        <v>1809.0308599999998</v>
      </c>
      <c r="AZ138" s="16">
        <v>5050.3500000000004</v>
      </c>
      <c r="BA138" s="16"/>
    </row>
    <row r="139" spans="1:53" x14ac:dyDescent="0.3">
      <c r="A139" t="s">
        <v>85</v>
      </c>
      <c r="B139" s="9">
        <v>46136</v>
      </c>
      <c r="C139">
        <v>0</v>
      </c>
      <c r="D139" t="s">
        <v>84</v>
      </c>
      <c r="E139">
        <v>2103</v>
      </c>
      <c r="F139">
        <v>2103</v>
      </c>
      <c r="G139"/>
      <c r="H139"/>
      <c r="J139" t="s">
        <v>470</v>
      </c>
      <c r="K139" t="s">
        <v>471</v>
      </c>
      <c r="L139" t="s">
        <v>506</v>
      </c>
      <c r="M139" t="s">
        <v>86</v>
      </c>
      <c r="N139" t="s">
        <v>507</v>
      </c>
      <c r="O139" t="s">
        <v>87</v>
      </c>
      <c r="P139" t="s">
        <v>89</v>
      </c>
      <c r="Q139" t="s">
        <v>90</v>
      </c>
      <c r="R139">
        <v>2026</v>
      </c>
      <c r="S139">
        <v>2026</v>
      </c>
      <c r="T139" t="s">
        <v>88</v>
      </c>
      <c r="U139">
        <v>85</v>
      </c>
      <c r="V139">
        <v>84669</v>
      </c>
      <c r="W139">
        <v>152.16</v>
      </c>
      <c r="X139">
        <v>420.86</v>
      </c>
      <c r="Y139">
        <v>0</v>
      </c>
      <c r="Z139">
        <v>65.209999999999994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12700.35</v>
      </c>
      <c r="AG139">
        <v>320000</v>
      </c>
      <c r="AH139">
        <v>150000</v>
      </c>
      <c r="AI139">
        <v>0</v>
      </c>
      <c r="AJ139">
        <v>150000</v>
      </c>
      <c r="AK139">
        <v>10000</v>
      </c>
      <c r="AL139">
        <v>10000</v>
      </c>
      <c r="AM139" s="42">
        <v>46113</v>
      </c>
      <c r="AN139" s="42">
        <v>46447</v>
      </c>
      <c r="AO139">
        <v>0</v>
      </c>
      <c r="AP139">
        <v>0</v>
      </c>
      <c r="AQ139">
        <v>0</v>
      </c>
      <c r="AR139" s="8">
        <f t="shared" si="4"/>
        <v>2391.0700000000002</v>
      </c>
      <c r="AS139" s="38">
        <f t="shared" si="5"/>
        <v>1797.2716762</v>
      </c>
      <c r="AT139" s="39" t="s">
        <v>868</v>
      </c>
      <c r="AU139" s="40">
        <f>VLOOKUP(N139,'Apólice Endosso'!D:XFD,23,0)</f>
        <v>0</v>
      </c>
      <c r="AV139" s="39" t="str">
        <f>VLOOKUP(N139,'Apólice Endosso'!D:XFD,28,0)</f>
        <v>Padrão (100%) sem blindagem - 150k - Contrato 2025</v>
      </c>
      <c r="AW139" s="41" t="str">
        <f>IF(VLOOKUP(N139,'Apólice Endosso'!D:XFD,47,0)=0,"",VLOOKUP(N139,'Apólice Endosso'!D:XFD,47,0))</f>
        <v/>
      </c>
      <c r="AX139" s="40">
        <f>VLOOKUP(N139,'Apólice Endosso'!D:XFD,30,0)</f>
        <v>5050.3500000000004</v>
      </c>
      <c r="AY139" s="36">
        <v>1809.0308599999998</v>
      </c>
      <c r="AZ139" s="16">
        <v>5050.3500000000004</v>
      </c>
      <c r="BA139" s="16"/>
    </row>
    <row r="140" spans="1:53" x14ac:dyDescent="0.3">
      <c r="A140" t="s">
        <v>85</v>
      </c>
      <c r="B140" s="9">
        <v>46136</v>
      </c>
      <c r="C140">
        <v>0</v>
      </c>
      <c r="D140" t="s">
        <v>84</v>
      </c>
      <c r="E140">
        <v>2103</v>
      </c>
      <c r="F140">
        <v>2103</v>
      </c>
      <c r="G140"/>
      <c r="H140"/>
      <c r="J140" t="s">
        <v>470</v>
      </c>
      <c r="K140" t="s">
        <v>471</v>
      </c>
      <c r="L140" t="s">
        <v>508</v>
      </c>
      <c r="M140" t="s">
        <v>86</v>
      </c>
      <c r="N140" t="s">
        <v>509</v>
      </c>
      <c r="O140" t="s">
        <v>87</v>
      </c>
      <c r="P140" t="s">
        <v>89</v>
      </c>
      <c r="Q140" t="s">
        <v>90</v>
      </c>
      <c r="R140">
        <v>2026</v>
      </c>
      <c r="S140">
        <v>2026</v>
      </c>
      <c r="T140" t="s">
        <v>88</v>
      </c>
      <c r="U140">
        <v>85</v>
      </c>
      <c r="V140">
        <v>84669</v>
      </c>
      <c r="W140">
        <v>152.16</v>
      </c>
      <c r="X140">
        <v>420.86</v>
      </c>
      <c r="Y140">
        <v>0</v>
      </c>
      <c r="Z140">
        <v>65.209999999999994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12700.35</v>
      </c>
      <c r="AG140">
        <v>320000</v>
      </c>
      <c r="AH140">
        <v>150000</v>
      </c>
      <c r="AI140">
        <v>0</v>
      </c>
      <c r="AJ140">
        <v>150000</v>
      </c>
      <c r="AK140">
        <v>10000</v>
      </c>
      <c r="AL140">
        <v>10000</v>
      </c>
      <c r="AM140" s="42">
        <v>46113</v>
      </c>
      <c r="AN140" s="42">
        <v>46447</v>
      </c>
      <c r="AO140">
        <v>0</v>
      </c>
      <c r="AP140">
        <v>0</v>
      </c>
      <c r="AQ140">
        <v>0</v>
      </c>
      <c r="AR140" s="8">
        <f t="shared" si="4"/>
        <v>2391.0700000000002</v>
      </c>
      <c r="AS140" s="38">
        <f t="shared" si="5"/>
        <v>1797.2716762</v>
      </c>
      <c r="AT140" s="39" t="s">
        <v>868</v>
      </c>
      <c r="AU140" s="40">
        <f>VLOOKUP(N140,'Apólice Endosso'!D:XFD,23,0)</f>
        <v>0</v>
      </c>
      <c r="AV140" s="39" t="str">
        <f>VLOOKUP(N140,'Apólice Endosso'!D:XFD,28,0)</f>
        <v>Padrão (100%) sem blindagem - 150k - Contrato 2025</v>
      </c>
      <c r="AW140" s="41" t="str">
        <f>IF(VLOOKUP(N140,'Apólice Endosso'!D:XFD,47,0)=0,"",VLOOKUP(N140,'Apólice Endosso'!D:XFD,47,0))</f>
        <v/>
      </c>
      <c r="AX140" s="40">
        <f>VLOOKUP(N140,'Apólice Endosso'!D:XFD,30,0)</f>
        <v>5050.3500000000004</v>
      </c>
      <c r="AY140" s="36">
        <v>1809.0308599999998</v>
      </c>
      <c r="AZ140" s="16">
        <v>5050.3500000000004</v>
      </c>
      <c r="BA140" s="16"/>
    </row>
    <row r="141" spans="1:53" x14ac:dyDescent="0.3">
      <c r="A141" t="s">
        <v>85</v>
      </c>
      <c r="B141" s="9">
        <v>46136</v>
      </c>
      <c r="C141">
        <v>0</v>
      </c>
      <c r="D141" t="s">
        <v>84</v>
      </c>
      <c r="E141">
        <v>2103</v>
      </c>
      <c r="F141">
        <v>2103</v>
      </c>
      <c r="G141"/>
      <c r="H141"/>
      <c r="J141" t="s">
        <v>470</v>
      </c>
      <c r="K141" t="s">
        <v>471</v>
      </c>
      <c r="L141" t="s">
        <v>510</v>
      </c>
      <c r="M141" t="s">
        <v>86</v>
      </c>
      <c r="N141" t="s">
        <v>511</v>
      </c>
      <c r="O141" t="s">
        <v>87</v>
      </c>
      <c r="P141" t="s">
        <v>89</v>
      </c>
      <c r="Q141" t="s">
        <v>90</v>
      </c>
      <c r="R141">
        <v>2026</v>
      </c>
      <c r="S141">
        <v>2026</v>
      </c>
      <c r="T141" t="s">
        <v>88</v>
      </c>
      <c r="U141">
        <v>85</v>
      </c>
      <c r="V141">
        <v>84669</v>
      </c>
      <c r="W141">
        <v>152.16</v>
      </c>
      <c r="X141">
        <v>420.86</v>
      </c>
      <c r="Y141">
        <v>0</v>
      </c>
      <c r="Z141">
        <v>65.209999999999994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12700.35</v>
      </c>
      <c r="AG141">
        <v>320000</v>
      </c>
      <c r="AH141">
        <v>150000</v>
      </c>
      <c r="AI141">
        <v>0</v>
      </c>
      <c r="AJ141">
        <v>150000</v>
      </c>
      <c r="AK141">
        <v>10000</v>
      </c>
      <c r="AL141">
        <v>10000</v>
      </c>
      <c r="AM141" s="42">
        <v>46113</v>
      </c>
      <c r="AN141" s="42">
        <v>46447</v>
      </c>
      <c r="AO141">
        <v>0</v>
      </c>
      <c r="AP141">
        <v>0</v>
      </c>
      <c r="AQ141">
        <v>0</v>
      </c>
      <c r="AR141" s="8">
        <f t="shared" si="4"/>
        <v>2391.0700000000002</v>
      </c>
      <c r="AS141" s="38">
        <f t="shared" si="5"/>
        <v>1797.2716762</v>
      </c>
      <c r="AT141" s="39" t="s">
        <v>868</v>
      </c>
      <c r="AU141" s="40">
        <f>VLOOKUP(N141,'Apólice Endosso'!D:XFD,23,0)</f>
        <v>0</v>
      </c>
      <c r="AV141" s="39" t="str">
        <f>VLOOKUP(N141,'Apólice Endosso'!D:XFD,28,0)</f>
        <v>Padrão (100%) sem blindagem - 150k - Contrato 2025</v>
      </c>
      <c r="AW141" s="41" t="str">
        <f>IF(VLOOKUP(N141,'Apólice Endosso'!D:XFD,47,0)=0,"",VLOOKUP(N141,'Apólice Endosso'!D:XFD,47,0))</f>
        <v/>
      </c>
      <c r="AX141" s="40">
        <f>VLOOKUP(N141,'Apólice Endosso'!D:XFD,30,0)</f>
        <v>5050.3500000000004</v>
      </c>
      <c r="AY141" s="36">
        <v>1809.0308599999998</v>
      </c>
      <c r="AZ141" s="16">
        <v>5050.3500000000004</v>
      </c>
      <c r="BA141" s="16"/>
    </row>
    <row r="142" spans="1:53" x14ac:dyDescent="0.3">
      <c r="A142" t="s">
        <v>85</v>
      </c>
      <c r="B142" s="9">
        <v>46136</v>
      </c>
      <c r="C142">
        <v>0</v>
      </c>
      <c r="D142" t="s">
        <v>84</v>
      </c>
      <c r="E142">
        <v>2103</v>
      </c>
      <c r="F142">
        <v>2103</v>
      </c>
      <c r="G142"/>
      <c r="H142"/>
      <c r="J142" t="s">
        <v>470</v>
      </c>
      <c r="K142" t="s">
        <v>471</v>
      </c>
      <c r="L142" t="s">
        <v>512</v>
      </c>
      <c r="M142" t="s">
        <v>86</v>
      </c>
      <c r="N142" t="s">
        <v>513</v>
      </c>
      <c r="O142" t="s">
        <v>87</v>
      </c>
      <c r="P142" t="s">
        <v>89</v>
      </c>
      <c r="Q142" t="s">
        <v>90</v>
      </c>
      <c r="R142">
        <v>2026</v>
      </c>
      <c r="S142">
        <v>2026</v>
      </c>
      <c r="T142" t="s">
        <v>88</v>
      </c>
      <c r="U142">
        <v>85</v>
      </c>
      <c r="V142">
        <v>84669</v>
      </c>
      <c r="W142">
        <v>152.16</v>
      </c>
      <c r="X142">
        <v>420.86</v>
      </c>
      <c r="Y142">
        <v>0</v>
      </c>
      <c r="Z142">
        <v>65.209999999999994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12700.35</v>
      </c>
      <c r="AG142">
        <v>320000</v>
      </c>
      <c r="AH142">
        <v>150000</v>
      </c>
      <c r="AI142">
        <v>0</v>
      </c>
      <c r="AJ142">
        <v>150000</v>
      </c>
      <c r="AK142">
        <v>10000</v>
      </c>
      <c r="AL142">
        <v>10000</v>
      </c>
      <c r="AM142" s="42">
        <v>46113</v>
      </c>
      <c r="AN142" s="42">
        <v>46447</v>
      </c>
      <c r="AO142">
        <v>0</v>
      </c>
      <c r="AP142">
        <v>0</v>
      </c>
      <c r="AQ142">
        <v>0</v>
      </c>
      <c r="AR142" s="8">
        <f t="shared" si="4"/>
        <v>2391.0700000000002</v>
      </c>
      <c r="AS142" s="38">
        <f t="shared" si="5"/>
        <v>1797.2716762</v>
      </c>
      <c r="AT142" s="39" t="s">
        <v>868</v>
      </c>
      <c r="AU142" s="40">
        <f>VLOOKUP(N142,'Apólice Endosso'!D:XFD,23,0)</f>
        <v>0</v>
      </c>
      <c r="AV142" s="39" t="str">
        <f>VLOOKUP(N142,'Apólice Endosso'!D:XFD,28,0)</f>
        <v>Padrão (100%) sem blindagem - 150k - Contrato 2025</v>
      </c>
      <c r="AW142" s="41" t="str">
        <f>IF(VLOOKUP(N142,'Apólice Endosso'!D:XFD,47,0)=0,"",VLOOKUP(N142,'Apólice Endosso'!D:XFD,47,0))</f>
        <v/>
      </c>
      <c r="AX142" s="40">
        <f>VLOOKUP(N142,'Apólice Endosso'!D:XFD,30,0)</f>
        <v>5050.3500000000004</v>
      </c>
      <c r="AY142" s="36">
        <v>1809.0308599999998</v>
      </c>
      <c r="AZ142" s="16">
        <v>5050.3500000000004</v>
      </c>
      <c r="BA142" s="16"/>
    </row>
    <row r="143" spans="1:53" x14ac:dyDescent="0.3">
      <c r="A143" t="s">
        <v>85</v>
      </c>
      <c r="B143" s="9">
        <v>46136</v>
      </c>
      <c r="C143">
        <v>0</v>
      </c>
      <c r="D143" t="s">
        <v>84</v>
      </c>
      <c r="E143">
        <v>2103</v>
      </c>
      <c r="F143">
        <v>2103</v>
      </c>
      <c r="G143"/>
      <c r="H143"/>
      <c r="J143" t="s">
        <v>470</v>
      </c>
      <c r="K143" t="s">
        <v>471</v>
      </c>
      <c r="L143" t="s">
        <v>514</v>
      </c>
      <c r="M143" t="s">
        <v>86</v>
      </c>
      <c r="N143" t="s">
        <v>515</v>
      </c>
      <c r="O143" t="s">
        <v>87</v>
      </c>
      <c r="P143" t="s">
        <v>89</v>
      </c>
      <c r="Q143" t="s">
        <v>90</v>
      </c>
      <c r="R143">
        <v>2026</v>
      </c>
      <c r="S143">
        <v>2026</v>
      </c>
      <c r="T143" t="s">
        <v>88</v>
      </c>
      <c r="U143">
        <v>85</v>
      </c>
      <c r="V143">
        <v>84669</v>
      </c>
      <c r="W143">
        <v>152.16</v>
      </c>
      <c r="X143">
        <v>420.86</v>
      </c>
      <c r="Y143">
        <v>0</v>
      </c>
      <c r="Z143">
        <v>65.209999999999994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12700.35</v>
      </c>
      <c r="AG143">
        <v>320000</v>
      </c>
      <c r="AH143">
        <v>150000</v>
      </c>
      <c r="AI143">
        <v>0</v>
      </c>
      <c r="AJ143">
        <v>150000</v>
      </c>
      <c r="AK143">
        <v>10000</v>
      </c>
      <c r="AL143">
        <v>10000</v>
      </c>
      <c r="AM143" s="42">
        <v>46113</v>
      </c>
      <c r="AN143" s="42">
        <v>46447</v>
      </c>
      <c r="AO143">
        <v>0</v>
      </c>
      <c r="AP143">
        <v>0</v>
      </c>
      <c r="AQ143">
        <v>0</v>
      </c>
      <c r="AR143" s="8">
        <f t="shared" si="4"/>
        <v>2391.0700000000002</v>
      </c>
      <c r="AS143" s="38">
        <f t="shared" si="5"/>
        <v>1797.2716762</v>
      </c>
      <c r="AT143" s="39" t="s">
        <v>868</v>
      </c>
      <c r="AU143" s="40">
        <f>VLOOKUP(N143,'Apólice Endosso'!D:XFD,23,0)</f>
        <v>0</v>
      </c>
      <c r="AV143" s="39" t="str">
        <f>VLOOKUP(N143,'Apólice Endosso'!D:XFD,28,0)</f>
        <v>Padrão (100%) sem blindagem - 150k - Contrato 2025</v>
      </c>
      <c r="AW143" s="41" t="str">
        <f>IF(VLOOKUP(N143,'Apólice Endosso'!D:XFD,47,0)=0,"",VLOOKUP(N143,'Apólice Endosso'!D:XFD,47,0))</f>
        <v/>
      </c>
      <c r="AX143" s="40">
        <f>VLOOKUP(N143,'Apólice Endosso'!D:XFD,30,0)</f>
        <v>5050.3500000000004</v>
      </c>
      <c r="AY143" s="36">
        <v>1809.0308599999998</v>
      </c>
      <c r="AZ143" s="16">
        <v>5050.3500000000004</v>
      </c>
      <c r="BA143" s="16"/>
    </row>
    <row r="144" spans="1:53" x14ac:dyDescent="0.3">
      <c r="A144" t="s">
        <v>85</v>
      </c>
      <c r="B144" s="9">
        <v>46136</v>
      </c>
      <c r="C144">
        <v>0</v>
      </c>
      <c r="D144" t="s">
        <v>84</v>
      </c>
      <c r="E144">
        <v>2103</v>
      </c>
      <c r="F144">
        <v>2103</v>
      </c>
      <c r="G144"/>
      <c r="H144"/>
      <c r="J144" t="s">
        <v>470</v>
      </c>
      <c r="K144" t="s">
        <v>471</v>
      </c>
      <c r="L144" t="s">
        <v>516</v>
      </c>
      <c r="M144" t="s">
        <v>86</v>
      </c>
      <c r="N144" t="s">
        <v>517</v>
      </c>
      <c r="O144" t="s">
        <v>87</v>
      </c>
      <c r="P144" t="s">
        <v>89</v>
      </c>
      <c r="Q144" t="s">
        <v>90</v>
      </c>
      <c r="R144">
        <v>2026</v>
      </c>
      <c r="S144">
        <v>2026</v>
      </c>
      <c r="T144" t="s">
        <v>88</v>
      </c>
      <c r="U144">
        <v>85</v>
      </c>
      <c r="V144">
        <v>84669</v>
      </c>
      <c r="W144">
        <v>152.16</v>
      </c>
      <c r="X144">
        <v>420.86</v>
      </c>
      <c r="Y144">
        <v>0</v>
      </c>
      <c r="Z144">
        <v>65.209999999999994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12700.35</v>
      </c>
      <c r="AG144">
        <v>320000</v>
      </c>
      <c r="AH144">
        <v>150000</v>
      </c>
      <c r="AI144">
        <v>0</v>
      </c>
      <c r="AJ144">
        <v>150000</v>
      </c>
      <c r="AK144">
        <v>10000</v>
      </c>
      <c r="AL144">
        <v>10000</v>
      </c>
      <c r="AM144" s="42">
        <v>46113</v>
      </c>
      <c r="AN144" s="42">
        <v>46447</v>
      </c>
      <c r="AO144">
        <v>0</v>
      </c>
      <c r="AP144">
        <v>0</v>
      </c>
      <c r="AQ144">
        <v>0</v>
      </c>
      <c r="AR144" s="8">
        <f t="shared" si="4"/>
        <v>2391.0700000000002</v>
      </c>
      <c r="AS144" s="38">
        <f t="shared" si="5"/>
        <v>1797.2716762</v>
      </c>
      <c r="AT144" s="39" t="s">
        <v>868</v>
      </c>
      <c r="AU144" s="40">
        <f>VLOOKUP(N144,'Apólice Endosso'!D:XFD,23,0)</f>
        <v>0</v>
      </c>
      <c r="AV144" s="39" t="str">
        <f>VLOOKUP(N144,'Apólice Endosso'!D:XFD,28,0)</f>
        <v>Padrão (100%) sem blindagem - 150k - Contrato 2025</v>
      </c>
      <c r="AW144" s="41" t="str">
        <f>IF(VLOOKUP(N144,'Apólice Endosso'!D:XFD,47,0)=0,"",VLOOKUP(N144,'Apólice Endosso'!D:XFD,47,0))</f>
        <v/>
      </c>
      <c r="AX144" s="40">
        <f>VLOOKUP(N144,'Apólice Endosso'!D:XFD,30,0)</f>
        <v>5050.3500000000004</v>
      </c>
      <c r="AY144" s="36">
        <v>1809.0308599999998</v>
      </c>
      <c r="AZ144" s="16">
        <v>5050.3500000000004</v>
      </c>
      <c r="BA144" s="16"/>
    </row>
    <row r="145" spans="1:53" x14ac:dyDescent="0.3">
      <c r="A145" t="s">
        <v>85</v>
      </c>
      <c r="B145" s="9">
        <v>46136</v>
      </c>
      <c r="C145">
        <v>0</v>
      </c>
      <c r="D145" t="s">
        <v>84</v>
      </c>
      <c r="E145">
        <v>2103</v>
      </c>
      <c r="F145">
        <v>2103</v>
      </c>
      <c r="G145"/>
      <c r="H145"/>
      <c r="J145" t="s">
        <v>470</v>
      </c>
      <c r="K145" t="s">
        <v>471</v>
      </c>
      <c r="L145" t="s">
        <v>518</v>
      </c>
      <c r="M145" t="s">
        <v>86</v>
      </c>
      <c r="N145" t="s">
        <v>519</v>
      </c>
      <c r="O145" t="s">
        <v>87</v>
      </c>
      <c r="P145" t="s">
        <v>89</v>
      </c>
      <c r="Q145" t="s">
        <v>90</v>
      </c>
      <c r="R145">
        <v>2026</v>
      </c>
      <c r="S145">
        <v>2026</v>
      </c>
      <c r="T145" t="s">
        <v>88</v>
      </c>
      <c r="U145">
        <v>85</v>
      </c>
      <c r="V145">
        <v>84669</v>
      </c>
      <c r="W145">
        <v>152.16</v>
      </c>
      <c r="X145">
        <v>420.86</v>
      </c>
      <c r="Y145">
        <v>0</v>
      </c>
      <c r="Z145">
        <v>65.209999999999994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12700.35</v>
      </c>
      <c r="AG145">
        <v>320000</v>
      </c>
      <c r="AH145">
        <v>150000</v>
      </c>
      <c r="AI145">
        <v>0</v>
      </c>
      <c r="AJ145">
        <v>150000</v>
      </c>
      <c r="AK145">
        <v>10000</v>
      </c>
      <c r="AL145">
        <v>10000</v>
      </c>
      <c r="AM145" s="42">
        <v>46113</v>
      </c>
      <c r="AN145" s="42">
        <v>46447</v>
      </c>
      <c r="AO145">
        <v>0</v>
      </c>
      <c r="AP145">
        <v>0</v>
      </c>
      <c r="AQ145">
        <v>0</v>
      </c>
      <c r="AR145" s="8">
        <f t="shared" si="4"/>
        <v>2391.0700000000002</v>
      </c>
      <c r="AS145" s="38">
        <f t="shared" si="5"/>
        <v>1797.2716762</v>
      </c>
      <c r="AT145" s="39" t="s">
        <v>868</v>
      </c>
      <c r="AU145" s="40">
        <f>VLOOKUP(N145,'Apólice Endosso'!D:XFD,23,0)</f>
        <v>0</v>
      </c>
      <c r="AV145" s="39" t="str">
        <f>VLOOKUP(N145,'Apólice Endosso'!D:XFD,28,0)</f>
        <v>Padrão (100%) sem blindagem - 150k - Contrato 2025</v>
      </c>
      <c r="AW145" s="41" t="str">
        <f>IF(VLOOKUP(N145,'Apólice Endosso'!D:XFD,47,0)=0,"",VLOOKUP(N145,'Apólice Endosso'!D:XFD,47,0))</f>
        <v/>
      </c>
      <c r="AX145" s="40">
        <f>VLOOKUP(N145,'Apólice Endosso'!D:XFD,30,0)</f>
        <v>5050.3500000000004</v>
      </c>
      <c r="AY145" s="36">
        <v>1809.0308599999998</v>
      </c>
      <c r="AZ145" s="16">
        <v>5050.3500000000004</v>
      </c>
      <c r="BA145" s="16"/>
    </row>
    <row r="146" spans="1:53" x14ac:dyDescent="0.3">
      <c r="A146" t="s">
        <v>85</v>
      </c>
      <c r="B146" s="9">
        <v>46136</v>
      </c>
      <c r="C146">
        <v>0</v>
      </c>
      <c r="D146" t="s">
        <v>84</v>
      </c>
      <c r="E146">
        <v>2103</v>
      </c>
      <c r="F146">
        <v>2103</v>
      </c>
      <c r="G146"/>
      <c r="H146"/>
      <c r="J146" t="s">
        <v>470</v>
      </c>
      <c r="K146" t="s">
        <v>471</v>
      </c>
      <c r="L146" t="s">
        <v>520</v>
      </c>
      <c r="M146" t="s">
        <v>86</v>
      </c>
      <c r="N146" t="s">
        <v>521</v>
      </c>
      <c r="O146" t="s">
        <v>87</v>
      </c>
      <c r="P146" t="s">
        <v>89</v>
      </c>
      <c r="Q146" t="s">
        <v>90</v>
      </c>
      <c r="R146">
        <v>2026</v>
      </c>
      <c r="S146">
        <v>2026</v>
      </c>
      <c r="T146" t="s">
        <v>88</v>
      </c>
      <c r="U146">
        <v>85</v>
      </c>
      <c r="V146">
        <v>84669</v>
      </c>
      <c r="W146">
        <v>152.16</v>
      </c>
      <c r="X146">
        <v>420.86</v>
      </c>
      <c r="Y146">
        <v>0</v>
      </c>
      <c r="Z146">
        <v>65.209999999999994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12700.35</v>
      </c>
      <c r="AG146">
        <v>320000</v>
      </c>
      <c r="AH146">
        <v>150000</v>
      </c>
      <c r="AI146">
        <v>0</v>
      </c>
      <c r="AJ146">
        <v>150000</v>
      </c>
      <c r="AK146">
        <v>10000</v>
      </c>
      <c r="AL146">
        <v>10000</v>
      </c>
      <c r="AM146" s="42">
        <v>46113</v>
      </c>
      <c r="AN146" s="42">
        <v>46447</v>
      </c>
      <c r="AO146">
        <v>0</v>
      </c>
      <c r="AP146">
        <v>0</v>
      </c>
      <c r="AQ146">
        <v>0</v>
      </c>
      <c r="AR146" s="8">
        <f t="shared" si="4"/>
        <v>2391.0700000000002</v>
      </c>
      <c r="AS146" s="38">
        <f t="shared" si="5"/>
        <v>1797.2716762</v>
      </c>
      <c r="AT146" s="39" t="s">
        <v>868</v>
      </c>
      <c r="AU146" s="40">
        <f>VLOOKUP(N146,'Apólice Endosso'!D:XFD,23,0)</f>
        <v>0</v>
      </c>
      <c r="AV146" s="39" t="str">
        <f>VLOOKUP(N146,'Apólice Endosso'!D:XFD,28,0)</f>
        <v>Padrão (100%) sem blindagem - 150k - Contrato 2025</v>
      </c>
      <c r="AW146" s="41" t="str">
        <f>IF(VLOOKUP(N146,'Apólice Endosso'!D:XFD,47,0)=0,"",VLOOKUP(N146,'Apólice Endosso'!D:XFD,47,0))</f>
        <v/>
      </c>
      <c r="AX146" s="40">
        <f>VLOOKUP(N146,'Apólice Endosso'!D:XFD,30,0)</f>
        <v>5050.3500000000004</v>
      </c>
      <c r="AY146" s="36">
        <v>1809.0308599999998</v>
      </c>
      <c r="AZ146" s="16">
        <v>5050.3500000000004</v>
      </c>
      <c r="BA146" s="16"/>
    </row>
    <row r="147" spans="1:53" x14ac:dyDescent="0.3">
      <c r="A147" t="s">
        <v>85</v>
      </c>
      <c r="B147" s="9">
        <v>46136</v>
      </c>
      <c r="C147">
        <v>0</v>
      </c>
      <c r="D147" t="s">
        <v>84</v>
      </c>
      <c r="E147">
        <v>2103</v>
      </c>
      <c r="F147">
        <v>2103</v>
      </c>
      <c r="G147"/>
      <c r="H147"/>
      <c r="J147" t="s">
        <v>470</v>
      </c>
      <c r="K147" t="s">
        <v>471</v>
      </c>
      <c r="L147" t="s">
        <v>522</v>
      </c>
      <c r="M147" t="s">
        <v>86</v>
      </c>
      <c r="N147" t="s">
        <v>523</v>
      </c>
      <c r="O147" t="s">
        <v>87</v>
      </c>
      <c r="P147" t="s">
        <v>89</v>
      </c>
      <c r="Q147" t="s">
        <v>90</v>
      </c>
      <c r="R147">
        <v>2026</v>
      </c>
      <c r="S147">
        <v>2026</v>
      </c>
      <c r="T147" t="s">
        <v>88</v>
      </c>
      <c r="U147">
        <v>85</v>
      </c>
      <c r="V147">
        <v>84669</v>
      </c>
      <c r="W147">
        <v>152.16</v>
      </c>
      <c r="X147">
        <v>420.86</v>
      </c>
      <c r="Y147">
        <v>0</v>
      </c>
      <c r="Z147">
        <v>65.209999999999994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12700.35</v>
      </c>
      <c r="AG147">
        <v>320000</v>
      </c>
      <c r="AH147">
        <v>150000</v>
      </c>
      <c r="AI147">
        <v>0</v>
      </c>
      <c r="AJ147">
        <v>150000</v>
      </c>
      <c r="AK147">
        <v>10000</v>
      </c>
      <c r="AL147">
        <v>10000</v>
      </c>
      <c r="AM147" s="42">
        <v>46113</v>
      </c>
      <c r="AN147" s="42">
        <v>46447</v>
      </c>
      <c r="AO147">
        <v>0</v>
      </c>
      <c r="AP147">
        <v>0</v>
      </c>
      <c r="AQ147">
        <v>0</v>
      </c>
      <c r="AR147" s="8">
        <f t="shared" si="4"/>
        <v>2391.0700000000002</v>
      </c>
      <c r="AS147" s="38">
        <f t="shared" si="5"/>
        <v>1797.2716762</v>
      </c>
      <c r="AT147" s="39" t="s">
        <v>868</v>
      </c>
      <c r="AU147" s="40">
        <f>VLOOKUP(N147,'Apólice Endosso'!D:XFD,23,0)</f>
        <v>0</v>
      </c>
      <c r="AV147" s="39" t="str">
        <f>VLOOKUP(N147,'Apólice Endosso'!D:XFD,28,0)</f>
        <v>Padrão (100%) sem blindagem - 150k - Contrato 2025</v>
      </c>
      <c r="AW147" s="41" t="str">
        <f>IF(VLOOKUP(N147,'Apólice Endosso'!D:XFD,47,0)=0,"",VLOOKUP(N147,'Apólice Endosso'!D:XFD,47,0))</f>
        <v/>
      </c>
      <c r="AX147" s="40">
        <f>VLOOKUP(N147,'Apólice Endosso'!D:XFD,30,0)</f>
        <v>5050.3500000000004</v>
      </c>
      <c r="AY147" s="36">
        <v>1809.0308599999998</v>
      </c>
      <c r="AZ147" s="16">
        <v>5050.3500000000004</v>
      </c>
      <c r="BA147" s="16"/>
    </row>
    <row r="148" spans="1:53" x14ac:dyDescent="0.3">
      <c r="A148" t="s">
        <v>85</v>
      </c>
      <c r="B148" s="9">
        <v>46136</v>
      </c>
      <c r="C148">
        <v>0</v>
      </c>
      <c r="D148" t="s">
        <v>84</v>
      </c>
      <c r="E148">
        <v>2103</v>
      </c>
      <c r="F148">
        <v>2103</v>
      </c>
      <c r="G148"/>
      <c r="H148"/>
      <c r="J148" t="s">
        <v>470</v>
      </c>
      <c r="K148" t="s">
        <v>471</v>
      </c>
      <c r="L148" t="s">
        <v>524</v>
      </c>
      <c r="M148" t="s">
        <v>86</v>
      </c>
      <c r="N148" t="s">
        <v>525</v>
      </c>
      <c r="O148" t="s">
        <v>87</v>
      </c>
      <c r="P148" t="s">
        <v>89</v>
      </c>
      <c r="Q148" t="s">
        <v>90</v>
      </c>
      <c r="R148">
        <v>2026</v>
      </c>
      <c r="S148">
        <v>2026</v>
      </c>
      <c r="T148" t="s">
        <v>88</v>
      </c>
      <c r="U148">
        <v>85</v>
      </c>
      <c r="V148">
        <v>84669</v>
      </c>
      <c r="W148">
        <v>152.16</v>
      </c>
      <c r="X148">
        <v>420.86</v>
      </c>
      <c r="Y148">
        <v>0</v>
      </c>
      <c r="Z148">
        <v>65.209999999999994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12700.35</v>
      </c>
      <c r="AG148">
        <v>320000</v>
      </c>
      <c r="AH148">
        <v>150000</v>
      </c>
      <c r="AI148">
        <v>0</v>
      </c>
      <c r="AJ148">
        <v>150000</v>
      </c>
      <c r="AK148">
        <v>10000</v>
      </c>
      <c r="AL148">
        <v>10000</v>
      </c>
      <c r="AM148" s="42">
        <v>46113</v>
      </c>
      <c r="AN148" s="42">
        <v>46447</v>
      </c>
      <c r="AO148">
        <v>0</v>
      </c>
      <c r="AP148">
        <v>0</v>
      </c>
      <c r="AQ148">
        <v>0</v>
      </c>
      <c r="AR148" s="8">
        <f t="shared" si="4"/>
        <v>2391.0700000000002</v>
      </c>
      <c r="AS148" s="38">
        <f t="shared" si="5"/>
        <v>1797.2716762</v>
      </c>
      <c r="AT148" s="39" t="s">
        <v>868</v>
      </c>
      <c r="AU148" s="40">
        <f>VLOOKUP(N148,'Apólice Endosso'!D:XFD,23,0)</f>
        <v>0</v>
      </c>
      <c r="AV148" s="39" t="str">
        <f>VLOOKUP(N148,'Apólice Endosso'!D:XFD,28,0)</f>
        <v>Padrão (100%) sem blindagem - 150k - Contrato 2025</v>
      </c>
      <c r="AW148" s="41" t="str">
        <f>IF(VLOOKUP(N148,'Apólice Endosso'!D:XFD,47,0)=0,"",VLOOKUP(N148,'Apólice Endosso'!D:XFD,47,0))</f>
        <v/>
      </c>
      <c r="AX148" s="40">
        <f>VLOOKUP(N148,'Apólice Endosso'!D:XFD,30,0)</f>
        <v>5050.3500000000004</v>
      </c>
      <c r="AY148" s="36">
        <v>1809.0308599999998</v>
      </c>
      <c r="AZ148" s="16">
        <v>5050.3500000000004</v>
      </c>
      <c r="BA148" s="16"/>
    </row>
    <row r="149" spans="1:53" x14ac:dyDescent="0.3">
      <c r="A149" t="s">
        <v>85</v>
      </c>
      <c r="B149" s="9">
        <v>46136</v>
      </c>
      <c r="C149">
        <v>0</v>
      </c>
      <c r="D149" t="s">
        <v>84</v>
      </c>
      <c r="E149">
        <v>2103</v>
      </c>
      <c r="F149">
        <v>2103</v>
      </c>
      <c r="G149"/>
      <c r="H149"/>
      <c r="J149" t="s">
        <v>470</v>
      </c>
      <c r="K149" t="s">
        <v>471</v>
      </c>
      <c r="L149" t="s">
        <v>526</v>
      </c>
      <c r="M149" t="s">
        <v>86</v>
      </c>
      <c r="N149" t="s">
        <v>527</v>
      </c>
      <c r="O149" t="s">
        <v>87</v>
      </c>
      <c r="P149" t="s">
        <v>89</v>
      </c>
      <c r="Q149" t="s">
        <v>90</v>
      </c>
      <c r="R149">
        <v>2026</v>
      </c>
      <c r="S149">
        <v>2026</v>
      </c>
      <c r="T149" t="s">
        <v>88</v>
      </c>
      <c r="U149">
        <v>85</v>
      </c>
      <c r="V149">
        <v>84669</v>
      </c>
      <c r="W149">
        <v>152.16</v>
      </c>
      <c r="X149">
        <v>420.86</v>
      </c>
      <c r="Y149">
        <v>0</v>
      </c>
      <c r="Z149">
        <v>65.209999999999994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12700.35</v>
      </c>
      <c r="AG149">
        <v>320000</v>
      </c>
      <c r="AH149">
        <v>150000</v>
      </c>
      <c r="AI149">
        <v>0</v>
      </c>
      <c r="AJ149">
        <v>150000</v>
      </c>
      <c r="AK149">
        <v>10000</v>
      </c>
      <c r="AL149">
        <v>10000</v>
      </c>
      <c r="AM149" s="42">
        <v>46113</v>
      </c>
      <c r="AN149" s="42">
        <v>46447</v>
      </c>
      <c r="AO149">
        <v>0</v>
      </c>
      <c r="AP149">
        <v>0</v>
      </c>
      <c r="AQ149">
        <v>0</v>
      </c>
      <c r="AR149" s="8">
        <f t="shared" si="4"/>
        <v>2391.0700000000002</v>
      </c>
      <c r="AS149" s="38">
        <f t="shared" si="5"/>
        <v>1797.2716762</v>
      </c>
      <c r="AT149" s="39" t="s">
        <v>868</v>
      </c>
      <c r="AU149" s="40">
        <f>VLOOKUP(N149,'Apólice Endosso'!D:XFD,23,0)</f>
        <v>0</v>
      </c>
      <c r="AV149" s="39" t="str">
        <f>VLOOKUP(N149,'Apólice Endosso'!D:XFD,28,0)</f>
        <v>Padrão (100%) sem blindagem - 150k - Contrato 2025</v>
      </c>
      <c r="AW149" s="41" t="str">
        <f>IF(VLOOKUP(N149,'Apólice Endosso'!D:XFD,47,0)=0,"",VLOOKUP(N149,'Apólice Endosso'!D:XFD,47,0))</f>
        <v/>
      </c>
      <c r="AX149" s="40">
        <f>VLOOKUP(N149,'Apólice Endosso'!D:XFD,30,0)</f>
        <v>5050.3500000000004</v>
      </c>
      <c r="AY149" s="36">
        <v>1809.0308599999998</v>
      </c>
      <c r="AZ149" s="16">
        <v>5050.3500000000004</v>
      </c>
      <c r="BA149" s="16"/>
    </row>
    <row r="150" spans="1:53" x14ac:dyDescent="0.3">
      <c r="A150" t="s">
        <v>85</v>
      </c>
      <c r="B150" s="9">
        <v>46136</v>
      </c>
      <c r="C150">
        <v>0</v>
      </c>
      <c r="D150" t="s">
        <v>84</v>
      </c>
      <c r="E150">
        <v>2103</v>
      </c>
      <c r="F150">
        <v>2103</v>
      </c>
      <c r="G150"/>
      <c r="H150"/>
      <c r="J150" t="s">
        <v>470</v>
      </c>
      <c r="K150" t="s">
        <v>471</v>
      </c>
      <c r="L150" t="s">
        <v>528</v>
      </c>
      <c r="M150" t="s">
        <v>86</v>
      </c>
      <c r="N150" t="s">
        <v>529</v>
      </c>
      <c r="O150" t="s">
        <v>87</v>
      </c>
      <c r="P150" t="s">
        <v>89</v>
      </c>
      <c r="Q150" t="s">
        <v>90</v>
      </c>
      <c r="R150">
        <v>2026</v>
      </c>
      <c r="S150">
        <v>2026</v>
      </c>
      <c r="T150" t="s">
        <v>88</v>
      </c>
      <c r="U150">
        <v>85</v>
      </c>
      <c r="V150">
        <v>84669</v>
      </c>
      <c r="W150">
        <v>152.16</v>
      </c>
      <c r="X150">
        <v>420.86</v>
      </c>
      <c r="Y150">
        <v>0</v>
      </c>
      <c r="Z150">
        <v>65.209999999999994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12700.35</v>
      </c>
      <c r="AG150">
        <v>320000</v>
      </c>
      <c r="AH150">
        <v>150000</v>
      </c>
      <c r="AI150">
        <v>0</v>
      </c>
      <c r="AJ150">
        <v>150000</v>
      </c>
      <c r="AK150">
        <v>10000</v>
      </c>
      <c r="AL150">
        <v>10000</v>
      </c>
      <c r="AM150" s="42">
        <v>46113</v>
      </c>
      <c r="AN150" s="42">
        <v>46447</v>
      </c>
      <c r="AO150">
        <v>0</v>
      </c>
      <c r="AP150">
        <v>0</v>
      </c>
      <c r="AQ150">
        <v>0</v>
      </c>
      <c r="AR150" s="8">
        <f t="shared" si="4"/>
        <v>2391.0700000000002</v>
      </c>
      <c r="AS150" s="38">
        <f t="shared" si="5"/>
        <v>1797.2716762</v>
      </c>
      <c r="AT150" s="39" t="s">
        <v>868</v>
      </c>
      <c r="AU150" s="40">
        <f>VLOOKUP(N150,'Apólice Endosso'!D:XFD,23,0)</f>
        <v>0</v>
      </c>
      <c r="AV150" s="39" t="str">
        <f>VLOOKUP(N150,'Apólice Endosso'!D:XFD,28,0)</f>
        <v>Padrão (100%) sem blindagem - 150k - Contrato 2025</v>
      </c>
      <c r="AW150" s="41" t="str">
        <f>IF(VLOOKUP(N150,'Apólice Endosso'!D:XFD,47,0)=0,"",VLOOKUP(N150,'Apólice Endosso'!D:XFD,47,0))</f>
        <v/>
      </c>
      <c r="AX150" s="40">
        <f>VLOOKUP(N150,'Apólice Endosso'!D:XFD,30,0)</f>
        <v>5050.3500000000004</v>
      </c>
      <c r="AY150" s="36">
        <v>1809.0308599999998</v>
      </c>
      <c r="AZ150" s="16">
        <v>5050.3500000000004</v>
      </c>
      <c r="BA150" s="16"/>
    </row>
    <row r="151" spans="1:53" x14ac:dyDescent="0.3">
      <c r="A151" t="s">
        <v>85</v>
      </c>
      <c r="B151" s="9">
        <v>46136</v>
      </c>
      <c r="C151">
        <v>0</v>
      </c>
      <c r="D151" t="s">
        <v>84</v>
      </c>
      <c r="E151">
        <v>2103</v>
      </c>
      <c r="F151">
        <v>2103</v>
      </c>
      <c r="G151"/>
      <c r="H151"/>
      <c r="J151" t="s">
        <v>470</v>
      </c>
      <c r="K151" t="s">
        <v>471</v>
      </c>
      <c r="L151" t="s">
        <v>530</v>
      </c>
      <c r="M151" t="s">
        <v>86</v>
      </c>
      <c r="N151" t="s">
        <v>531</v>
      </c>
      <c r="O151" t="s">
        <v>87</v>
      </c>
      <c r="P151" t="s">
        <v>89</v>
      </c>
      <c r="Q151" t="s">
        <v>90</v>
      </c>
      <c r="R151">
        <v>2026</v>
      </c>
      <c r="S151">
        <v>2026</v>
      </c>
      <c r="T151" t="s">
        <v>88</v>
      </c>
      <c r="U151">
        <v>85</v>
      </c>
      <c r="V151">
        <v>84669</v>
      </c>
      <c r="W151">
        <v>152.16</v>
      </c>
      <c r="X151">
        <v>420.86</v>
      </c>
      <c r="Y151">
        <v>0</v>
      </c>
      <c r="Z151">
        <v>65.209999999999994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12700.35</v>
      </c>
      <c r="AG151">
        <v>320000</v>
      </c>
      <c r="AH151">
        <v>150000</v>
      </c>
      <c r="AI151">
        <v>0</v>
      </c>
      <c r="AJ151">
        <v>150000</v>
      </c>
      <c r="AK151">
        <v>10000</v>
      </c>
      <c r="AL151">
        <v>10000</v>
      </c>
      <c r="AM151" s="42">
        <v>46113</v>
      </c>
      <c r="AN151" s="42">
        <v>46447</v>
      </c>
      <c r="AO151">
        <v>0</v>
      </c>
      <c r="AP151">
        <v>0</v>
      </c>
      <c r="AQ151">
        <v>0</v>
      </c>
      <c r="AR151" s="8">
        <f t="shared" si="4"/>
        <v>2391.0700000000002</v>
      </c>
      <c r="AS151" s="38">
        <f t="shared" si="5"/>
        <v>1797.2716762</v>
      </c>
      <c r="AT151" s="39" t="s">
        <v>868</v>
      </c>
      <c r="AU151" s="40">
        <f>VLOOKUP(N151,'Apólice Endosso'!D:XFD,23,0)</f>
        <v>0</v>
      </c>
      <c r="AV151" s="39" t="str">
        <f>VLOOKUP(N151,'Apólice Endosso'!D:XFD,28,0)</f>
        <v>Padrão (100%) sem blindagem - 150k - Contrato 2025</v>
      </c>
      <c r="AW151" s="41" t="str">
        <f>IF(VLOOKUP(N151,'Apólice Endosso'!D:XFD,47,0)=0,"",VLOOKUP(N151,'Apólice Endosso'!D:XFD,47,0))</f>
        <v/>
      </c>
      <c r="AX151" s="40">
        <f>VLOOKUP(N151,'Apólice Endosso'!D:XFD,30,0)</f>
        <v>5050.3500000000004</v>
      </c>
      <c r="AY151" s="36">
        <v>1809.0308599999998</v>
      </c>
      <c r="AZ151" s="16">
        <v>5050.3500000000004</v>
      </c>
      <c r="BA151" s="16"/>
    </row>
    <row r="152" spans="1:53" x14ac:dyDescent="0.3">
      <c r="A152" t="s">
        <v>85</v>
      </c>
      <c r="B152" s="9">
        <v>46136</v>
      </c>
      <c r="C152">
        <v>0</v>
      </c>
      <c r="D152" t="s">
        <v>84</v>
      </c>
      <c r="E152">
        <v>2103</v>
      </c>
      <c r="F152">
        <v>2103</v>
      </c>
      <c r="G152"/>
      <c r="H152"/>
      <c r="J152" t="s">
        <v>470</v>
      </c>
      <c r="K152" t="s">
        <v>471</v>
      </c>
      <c r="L152" t="s">
        <v>532</v>
      </c>
      <c r="M152" t="s">
        <v>86</v>
      </c>
      <c r="N152" t="s">
        <v>533</v>
      </c>
      <c r="O152" t="s">
        <v>87</v>
      </c>
      <c r="P152" t="s">
        <v>89</v>
      </c>
      <c r="Q152" t="s">
        <v>90</v>
      </c>
      <c r="R152">
        <v>2026</v>
      </c>
      <c r="S152">
        <v>2026</v>
      </c>
      <c r="T152" t="s">
        <v>88</v>
      </c>
      <c r="U152">
        <v>85</v>
      </c>
      <c r="V152">
        <v>84669</v>
      </c>
      <c r="W152">
        <v>152.16</v>
      </c>
      <c r="X152">
        <v>420.86</v>
      </c>
      <c r="Y152">
        <v>0</v>
      </c>
      <c r="Z152">
        <v>65.209999999999994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12700.35</v>
      </c>
      <c r="AG152">
        <v>320000</v>
      </c>
      <c r="AH152">
        <v>150000</v>
      </c>
      <c r="AI152">
        <v>0</v>
      </c>
      <c r="AJ152">
        <v>150000</v>
      </c>
      <c r="AK152">
        <v>10000</v>
      </c>
      <c r="AL152">
        <v>10000</v>
      </c>
      <c r="AM152" s="42">
        <v>46113</v>
      </c>
      <c r="AN152" s="42">
        <v>46447</v>
      </c>
      <c r="AO152">
        <v>0</v>
      </c>
      <c r="AP152">
        <v>0</v>
      </c>
      <c r="AQ152">
        <v>0</v>
      </c>
      <c r="AR152" s="8">
        <f t="shared" si="4"/>
        <v>2391.0700000000002</v>
      </c>
      <c r="AS152" s="38">
        <f t="shared" si="5"/>
        <v>1797.2716762</v>
      </c>
      <c r="AT152" s="39" t="s">
        <v>868</v>
      </c>
      <c r="AU152" s="40">
        <f>VLOOKUP(N152,'Apólice Endosso'!D:XFD,23,0)</f>
        <v>0</v>
      </c>
      <c r="AV152" s="39" t="str">
        <f>VLOOKUP(N152,'Apólice Endosso'!D:XFD,28,0)</f>
        <v>Padrão (100%) sem blindagem - 150k - Contrato 2025</v>
      </c>
      <c r="AW152" s="41" t="str">
        <f>IF(VLOOKUP(N152,'Apólice Endosso'!D:XFD,47,0)=0,"",VLOOKUP(N152,'Apólice Endosso'!D:XFD,47,0))</f>
        <v/>
      </c>
      <c r="AX152" s="40">
        <f>VLOOKUP(N152,'Apólice Endosso'!D:XFD,30,0)</f>
        <v>5050.3500000000004</v>
      </c>
      <c r="AY152" s="36">
        <v>1809.0308599999998</v>
      </c>
      <c r="AZ152" s="16">
        <v>5050.3500000000004</v>
      </c>
      <c r="BA152" s="16"/>
    </row>
    <row r="153" spans="1:53" x14ac:dyDescent="0.3">
      <c r="A153" t="s">
        <v>85</v>
      </c>
      <c r="B153" s="9">
        <v>46136</v>
      </c>
      <c r="C153">
        <v>0</v>
      </c>
      <c r="D153" t="s">
        <v>84</v>
      </c>
      <c r="E153">
        <v>2103</v>
      </c>
      <c r="F153">
        <v>2103</v>
      </c>
      <c r="G153"/>
      <c r="H153"/>
      <c r="J153" t="s">
        <v>470</v>
      </c>
      <c r="K153" t="s">
        <v>471</v>
      </c>
      <c r="L153" t="s">
        <v>534</v>
      </c>
      <c r="M153" t="s">
        <v>86</v>
      </c>
      <c r="N153" t="s">
        <v>535</v>
      </c>
      <c r="O153" t="s">
        <v>87</v>
      </c>
      <c r="P153" t="s">
        <v>89</v>
      </c>
      <c r="Q153" t="s">
        <v>90</v>
      </c>
      <c r="R153">
        <v>2026</v>
      </c>
      <c r="S153">
        <v>2026</v>
      </c>
      <c r="T153" t="s">
        <v>88</v>
      </c>
      <c r="U153">
        <v>85</v>
      </c>
      <c r="V153">
        <v>84669</v>
      </c>
      <c r="W153">
        <v>152.16</v>
      </c>
      <c r="X153">
        <v>420.86</v>
      </c>
      <c r="Y153">
        <v>0</v>
      </c>
      <c r="Z153">
        <v>65.209999999999994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12700.35</v>
      </c>
      <c r="AG153">
        <v>320000</v>
      </c>
      <c r="AH153">
        <v>150000</v>
      </c>
      <c r="AI153">
        <v>0</v>
      </c>
      <c r="AJ153">
        <v>150000</v>
      </c>
      <c r="AK153">
        <v>10000</v>
      </c>
      <c r="AL153">
        <v>10000</v>
      </c>
      <c r="AM153" s="42">
        <v>46113</v>
      </c>
      <c r="AN153" s="42">
        <v>46447</v>
      </c>
      <c r="AO153">
        <v>0</v>
      </c>
      <c r="AP153">
        <v>0</v>
      </c>
      <c r="AQ153">
        <v>0</v>
      </c>
      <c r="AR153" s="8">
        <f t="shared" si="4"/>
        <v>2391.0700000000002</v>
      </c>
      <c r="AS153" s="38">
        <f t="shared" si="5"/>
        <v>1797.2716762</v>
      </c>
      <c r="AT153" s="39" t="s">
        <v>868</v>
      </c>
      <c r="AU153" s="40">
        <f>VLOOKUP(N153,'Apólice Endosso'!D:XFD,23,0)</f>
        <v>0</v>
      </c>
      <c r="AV153" s="39" t="str">
        <f>VLOOKUP(N153,'Apólice Endosso'!D:XFD,28,0)</f>
        <v>Padrão (100%) sem blindagem - 150k - Contrato 2025</v>
      </c>
      <c r="AW153" s="41" t="str">
        <f>IF(VLOOKUP(N153,'Apólice Endosso'!D:XFD,47,0)=0,"",VLOOKUP(N153,'Apólice Endosso'!D:XFD,47,0))</f>
        <v/>
      </c>
      <c r="AX153" s="40">
        <f>VLOOKUP(N153,'Apólice Endosso'!D:XFD,30,0)</f>
        <v>5050.3500000000004</v>
      </c>
      <c r="AY153" s="36">
        <v>1809.0308599999998</v>
      </c>
      <c r="AZ153" s="16">
        <v>5050.3500000000004</v>
      </c>
      <c r="BA153" s="16"/>
    </row>
    <row r="154" spans="1:53" x14ac:dyDescent="0.3">
      <c r="A154" t="s">
        <v>85</v>
      </c>
      <c r="B154" s="9">
        <v>46136</v>
      </c>
      <c r="C154">
        <v>0</v>
      </c>
      <c r="D154" t="s">
        <v>84</v>
      </c>
      <c r="E154">
        <v>2103</v>
      </c>
      <c r="F154">
        <v>2103</v>
      </c>
      <c r="G154"/>
      <c r="H154"/>
      <c r="J154" t="s">
        <v>470</v>
      </c>
      <c r="K154" t="s">
        <v>471</v>
      </c>
      <c r="L154" t="s">
        <v>536</v>
      </c>
      <c r="M154" t="s">
        <v>86</v>
      </c>
      <c r="N154" t="s">
        <v>537</v>
      </c>
      <c r="O154" t="s">
        <v>87</v>
      </c>
      <c r="P154" t="s">
        <v>89</v>
      </c>
      <c r="Q154" t="s">
        <v>90</v>
      </c>
      <c r="R154">
        <v>2026</v>
      </c>
      <c r="S154">
        <v>2026</v>
      </c>
      <c r="T154" t="s">
        <v>88</v>
      </c>
      <c r="U154">
        <v>85</v>
      </c>
      <c r="V154">
        <v>84669</v>
      </c>
      <c r="W154">
        <v>152.16</v>
      </c>
      <c r="X154">
        <v>420.86</v>
      </c>
      <c r="Y154">
        <v>0</v>
      </c>
      <c r="Z154">
        <v>65.209999999999994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12700.35</v>
      </c>
      <c r="AG154">
        <v>320000</v>
      </c>
      <c r="AH154">
        <v>150000</v>
      </c>
      <c r="AI154">
        <v>0</v>
      </c>
      <c r="AJ154">
        <v>150000</v>
      </c>
      <c r="AK154">
        <v>10000</v>
      </c>
      <c r="AL154">
        <v>10000</v>
      </c>
      <c r="AM154" s="42">
        <v>46113</v>
      </c>
      <c r="AN154" s="42">
        <v>46447</v>
      </c>
      <c r="AO154">
        <v>0</v>
      </c>
      <c r="AP154">
        <v>0</v>
      </c>
      <c r="AQ154">
        <v>0</v>
      </c>
      <c r="AR154" s="8">
        <f t="shared" si="4"/>
        <v>2391.0700000000002</v>
      </c>
      <c r="AS154" s="38">
        <f t="shared" si="5"/>
        <v>1797.2716762</v>
      </c>
      <c r="AT154" s="39" t="s">
        <v>868</v>
      </c>
      <c r="AU154" s="40">
        <f>VLOOKUP(N154,'Apólice Endosso'!D:XFD,23,0)</f>
        <v>0</v>
      </c>
      <c r="AV154" s="39" t="str">
        <f>VLOOKUP(N154,'Apólice Endosso'!D:XFD,28,0)</f>
        <v>Padrão (100%) sem blindagem - 150k - Contrato 2025</v>
      </c>
      <c r="AW154" s="41" t="str">
        <f>IF(VLOOKUP(N154,'Apólice Endosso'!D:XFD,47,0)=0,"",VLOOKUP(N154,'Apólice Endosso'!D:XFD,47,0))</f>
        <v/>
      </c>
      <c r="AX154" s="40">
        <f>VLOOKUP(N154,'Apólice Endosso'!D:XFD,30,0)</f>
        <v>5050.3500000000004</v>
      </c>
      <c r="AY154" s="36">
        <v>1809.0308599999998</v>
      </c>
      <c r="AZ154" s="16">
        <v>5050.3500000000004</v>
      </c>
      <c r="BA154" s="16"/>
    </row>
    <row r="155" spans="1:53" x14ac:dyDescent="0.3">
      <c r="A155" t="s">
        <v>85</v>
      </c>
      <c r="B155" s="9">
        <v>46139</v>
      </c>
      <c r="C155">
        <v>0</v>
      </c>
      <c r="D155" t="s">
        <v>84</v>
      </c>
      <c r="E155">
        <v>2103</v>
      </c>
      <c r="F155">
        <v>2103</v>
      </c>
      <c r="G155"/>
      <c r="H155"/>
      <c r="J155" t="s">
        <v>538</v>
      </c>
      <c r="K155" t="s">
        <v>539</v>
      </c>
      <c r="L155" t="s">
        <v>540</v>
      </c>
      <c r="M155" t="s">
        <v>86</v>
      </c>
      <c r="N155" t="s">
        <v>541</v>
      </c>
      <c r="O155" t="s">
        <v>87</v>
      </c>
      <c r="P155" t="s">
        <v>91</v>
      </c>
      <c r="Q155" t="s">
        <v>92</v>
      </c>
      <c r="R155">
        <v>2024</v>
      </c>
      <c r="S155">
        <v>2024</v>
      </c>
      <c r="T155" t="s">
        <v>93</v>
      </c>
      <c r="U155">
        <v>85</v>
      </c>
      <c r="V155">
        <v>0</v>
      </c>
      <c r="W155">
        <v>328.53</v>
      </c>
      <c r="X155">
        <v>2065.1799999999998</v>
      </c>
      <c r="Y155">
        <v>0</v>
      </c>
      <c r="Z155">
        <v>140.80000000000001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620000</v>
      </c>
      <c r="AH155">
        <v>300000</v>
      </c>
      <c r="AI155">
        <v>0</v>
      </c>
      <c r="AJ155">
        <v>300000</v>
      </c>
      <c r="AK155">
        <v>10000</v>
      </c>
      <c r="AL155">
        <v>10000</v>
      </c>
      <c r="AM155" s="42">
        <v>46113</v>
      </c>
      <c r="AN155" s="42">
        <v>46447</v>
      </c>
      <c r="AO155">
        <v>0</v>
      </c>
      <c r="AP155">
        <v>0</v>
      </c>
      <c r="AQ155">
        <v>0</v>
      </c>
      <c r="AR155" s="8">
        <f t="shared" si="4"/>
        <v>5162.63</v>
      </c>
      <c r="AS155" s="38">
        <f t="shared" si="5"/>
        <v>3880.5424657999997</v>
      </c>
      <c r="AT155" s="39" t="s">
        <v>869</v>
      </c>
      <c r="AU155" s="40">
        <f>VLOOKUP(N155,'Apólice Endosso'!D:XFD,23,0)</f>
        <v>0</v>
      </c>
      <c r="AV155" s="39" t="str">
        <f>VLOOKUP(N155,'Apólice Endosso'!D:XFD,28,0)</f>
        <v>Padrão (100%) sem blindagem - 300k - Contrato 2025</v>
      </c>
      <c r="AW155" s="41" t="str">
        <f>IF(VLOOKUP(N155,'Apólice Endosso'!D:XFD,47,0)=0,"",VLOOKUP(N155,'Apólice Endosso'!D:XFD,47,0))</f>
        <v/>
      </c>
      <c r="AX155" s="40">
        <f>VLOOKUP(N155,'Apólice Endosso'!D:XFD,30,0)</f>
        <v>24782.1</v>
      </c>
      <c r="AY155" s="36">
        <v>3715.3694759999994</v>
      </c>
      <c r="AZ155" s="16">
        <v>24782.1</v>
      </c>
      <c r="BA155" s="16"/>
    </row>
    <row r="156" spans="1:53" x14ac:dyDescent="0.3">
      <c r="A156" t="s">
        <v>85</v>
      </c>
      <c r="B156" s="9">
        <v>46139</v>
      </c>
      <c r="C156">
        <v>0</v>
      </c>
      <c r="D156" t="s">
        <v>84</v>
      </c>
      <c r="E156">
        <v>2103</v>
      </c>
      <c r="F156">
        <v>2103</v>
      </c>
      <c r="G156"/>
      <c r="H156"/>
      <c r="J156" t="s">
        <v>542</v>
      </c>
      <c r="K156" t="s">
        <v>543</v>
      </c>
      <c r="L156" t="s">
        <v>544</v>
      </c>
      <c r="M156" t="s">
        <v>86</v>
      </c>
      <c r="N156" t="s">
        <v>545</v>
      </c>
      <c r="O156" t="s">
        <v>87</v>
      </c>
      <c r="P156" t="s">
        <v>89</v>
      </c>
      <c r="Q156" t="s">
        <v>90</v>
      </c>
      <c r="R156">
        <v>2026</v>
      </c>
      <c r="S156">
        <v>2026</v>
      </c>
      <c r="T156" t="s">
        <v>88</v>
      </c>
      <c r="U156">
        <v>85</v>
      </c>
      <c r="V156">
        <v>84669</v>
      </c>
      <c r="W156">
        <v>152.16</v>
      </c>
      <c r="X156">
        <v>420.86</v>
      </c>
      <c r="Y156">
        <v>0</v>
      </c>
      <c r="Z156">
        <v>65.209999999999994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12700.35</v>
      </c>
      <c r="AG156">
        <v>320000</v>
      </c>
      <c r="AH156">
        <v>150000</v>
      </c>
      <c r="AI156">
        <v>0</v>
      </c>
      <c r="AJ156">
        <v>150000</v>
      </c>
      <c r="AK156">
        <v>10000</v>
      </c>
      <c r="AL156">
        <v>10000</v>
      </c>
      <c r="AM156" s="42">
        <v>46113</v>
      </c>
      <c r="AN156" s="42">
        <v>46447</v>
      </c>
      <c r="AO156">
        <v>0</v>
      </c>
      <c r="AP156">
        <v>0</v>
      </c>
      <c r="AQ156">
        <v>0</v>
      </c>
      <c r="AR156" s="8">
        <f t="shared" si="4"/>
        <v>2391.0700000000002</v>
      </c>
      <c r="AS156" s="38">
        <f t="shared" si="5"/>
        <v>1797.2716762</v>
      </c>
      <c r="AT156" s="39" t="s">
        <v>864</v>
      </c>
      <c r="AU156" s="40">
        <f>VLOOKUP(N156,'Apólice Endosso'!D:XFD,23,0)</f>
        <v>0</v>
      </c>
      <c r="AV156" s="39" t="str">
        <f>VLOOKUP(N156,'Apólice Endosso'!D:XFD,28,0)</f>
        <v>Padrão (100%) sem blindagem - 150k - Contrato 2025</v>
      </c>
      <c r="AW156" s="41" t="str">
        <f>IF(VLOOKUP(N156,'Apólice Endosso'!D:XFD,47,0)=0,"",VLOOKUP(N156,'Apólice Endosso'!D:XFD,47,0))</f>
        <v/>
      </c>
      <c r="AX156" s="40">
        <f>VLOOKUP(N156,'Apólice Endosso'!D:XFD,30,0)</f>
        <v>5050.3500000000004</v>
      </c>
      <c r="AY156" s="36">
        <v>1809.0308599999998</v>
      </c>
      <c r="AZ156" s="16">
        <v>5050.3500000000004</v>
      </c>
      <c r="BA156" s="16"/>
    </row>
    <row r="157" spans="1:53" x14ac:dyDescent="0.3">
      <c r="A157" t="s">
        <v>85</v>
      </c>
      <c r="B157" s="9">
        <v>46139</v>
      </c>
      <c r="C157">
        <v>0</v>
      </c>
      <c r="D157" t="s">
        <v>84</v>
      </c>
      <c r="E157">
        <v>2103</v>
      </c>
      <c r="F157">
        <v>2103</v>
      </c>
      <c r="G157"/>
      <c r="H157"/>
      <c r="J157" t="s">
        <v>542</v>
      </c>
      <c r="K157" t="s">
        <v>543</v>
      </c>
      <c r="L157" t="s">
        <v>546</v>
      </c>
      <c r="M157" t="s">
        <v>86</v>
      </c>
      <c r="N157" t="s">
        <v>547</v>
      </c>
      <c r="O157" t="s">
        <v>87</v>
      </c>
      <c r="P157" t="s">
        <v>89</v>
      </c>
      <c r="Q157" t="s">
        <v>90</v>
      </c>
      <c r="R157">
        <v>2026</v>
      </c>
      <c r="S157">
        <v>2026</v>
      </c>
      <c r="T157" t="s">
        <v>88</v>
      </c>
      <c r="U157">
        <v>85</v>
      </c>
      <c r="V157">
        <v>84669</v>
      </c>
      <c r="W157">
        <v>152.16</v>
      </c>
      <c r="X157">
        <v>420.86</v>
      </c>
      <c r="Y157">
        <v>0</v>
      </c>
      <c r="Z157">
        <v>65.209999999999994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12700.35</v>
      </c>
      <c r="AG157">
        <v>320000</v>
      </c>
      <c r="AH157">
        <v>150000</v>
      </c>
      <c r="AI157">
        <v>0</v>
      </c>
      <c r="AJ157">
        <v>150000</v>
      </c>
      <c r="AK157">
        <v>10000</v>
      </c>
      <c r="AL157">
        <v>10000</v>
      </c>
      <c r="AM157" s="42">
        <v>46113</v>
      </c>
      <c r="AN157" s="42">
        <v>46447</v>
      </c>
      <c r="AO157">
        <v>0</v>
      </c>
      <c r="AP157">
        <v>0</v>
      </c>
      <c r="AQ157">
        <v>0</v>
      </c>
      <c r="AR157" s="8">
        <f t="shared" si="4"/>
        <v>2391.0700000000002</v>
      </c>
      <c r="AS157" s="38">
        <f t="shared" si="5"/>
        <v>1797.2716762</v>
      </c>
      <c r="AT157" s="39" t="s">
        <v>864</v>
      </c>
      <c r="AU157" s="40">
        <f>VLOOKUP(N157,'Apólice Endosso'!D:XFD,23,0)</f>
        <v>0</v>
      </c>
      <c r="AV157" s="39" t="str">
        <f>VLOOKUP(N157,'Apólice Endosso'!D:XFD,28,0)</f>
        <v>Padrão (100%) sem blindagem - 150k - Contrato 2025</v>
      </c>
      <c r="AW157" s="41" t="str">
        <f>IF(VLOOKUP(N157,'Apólice Endosso'!D:XFD,47,0)=0,"",VLOOKUP(N157,'Apólice Endosso'!D:XFD,47,0))</f>
        <v/>
      </c>
      <c r="AX157" s="40">
        <f>VLOOKUP(N157,'Apólice Endosso'!D:XFD,30,0)</f>
        <v>5050.3500000000004</v>
      </c>
      <c r="AY157" s="36">
        <v>1809.0308599999998</v>
      </c>
      <c r="AZ157" s="16">
        <v>5050.3500000000004</v>
      </c>
      <c r="BA157" s="16"/>
    </row>
    <row r="158" spans="1:53" x14ac:dyDescent="0.3">
      <c r="A158" t="s">
        <v>85</v>
      </c>
      <c r="B158" s="9">
        <v>46139</v>
      </c>
      <c r="C158">
        <v>0</v>
      </c>
      <c r="D158" t="s">
        <v>84</v>
      </c>
      <c r="E158">
        <v>2103</v>
      </c>
      <c r="F158">
        <v>2103</v>
      </c>
      <c r="G158"/>
      <c r="H158"/>
      <c r="J158" t="s">
        <v>542</v>
      </c>
      <c r="K158" t="s">
        <v>543</v>
      </c>
      <c r="L158" t="s">
        <v>548</v>
      </c>
      <c r="M158" t="s">
        <v>86</v>
      </c>
      <c r="N158" t="s">
        <v>549</v>
      </c>
      <c r="O158" t="s">
        <v>87</v>
      </c>
      <c r="P158" t="s">
        <v>89</v>
      </c>
      <c r="Q158" t="s">
        <v>90</v>
      </c>
      <c r="R158">
        <v>2026</v>
      </c>
      <c r="S158">
        <v>2026</v>
      </c>
      <c r="T158" t="s">
        <v>88</v>
      </c>
      <c r="U158">
        <v>85</v>
      </c>
      <c r="V158">
        <v>84669</v>
      </c>
      <c r="W158">
        <v>152.16</v>
      </c>
      <c r="X158">
        <v>420.86</v>
      </c>
      <c r="Y158">
        <v>0</v>
      </c>
      <c r="Z158">
        <v>65.209999999999994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12700.35</v>
      </c>
      <c r="AG158">
        <v>320000</v>
      </c>
      <c r="AH158">
        <v>150000</v>
      </c>
      <c r="AI158">
        <v>0</v>
      </c>
      <c r="AJ158">
        <v>150000</v>
      </c>
      <c r="AK158">
        <v>10000</v>
      </c>
      <c r="AL158">
        <v>10000</v>
      </c>
      <c r="AM158" s="42">
        <v>46113</v>
      </c>
      <c r="AN158" s="42">
        <v>46447</v>
      </c>
      <c r="AO158">
        <v>0</v>
      </c>
      <c r="AP158">
        <v>0</v>
      </c>
      <c r="AQ158">
        <v>0</v>
      </c>
      <c r="AR158" s="8">
        <f t="shared" si="4"/>
        <v>2391.0700000000002</v>
      </c>
      <c r="AS158" s="38">
        <f t="shared" si="5"/>
        <v>1797.2716762</v>
      </c>
      <c r="AT158" s="39" t="s">
        <v>864</v>
      </c>
      <c r="AU158" s="40">
        <f>VLOOKUP(N158,'Apólice Endosso'!D:XFD,23,0)</f>
        <v>0</v>
      </c>
      <c r="AV158" s="39" t="str">
        <f>VLOOKUP(N158,'Apólice Endosso'!D:XFD,28,0)</f>
        <v>Padrão (100%) sem blindagem - 150k - Contrato 2025</v>
      </c>
      <c r="AW158" s="41" t="str">
        <f>IF(VLOOKUP(N158,'Apólice Endosso'!D:XFD,47,0)=0,"",VLOOKUP(N158,'Apólice Endosso'!D:XFD,47,0))</f>
        <v/>
      </c>
      <c r="AX158" s="40">
        <f>VLOOKUP(N158,'Apólice Endosso'!D:XFD,30,0)</f>
        <v>5050.3500000000004</v>
      </c>
      <c r="AY158" s="36">
        <v>1809.0308599999998</v>
      </c>
      <c r="AZ158" s="16">
        <v>5050.3500000000004</v>
      </c>
      <c r="BA158" s="16"/>
    </row>
    <row r="159" spans="1:53" x14ac:dyDescent="0.3">
      <c r="A159" t="s">
        <v>85</v>
      </c>
      <c r="B159" s="9">
        <v>46139</v>
      </c>
      <c r="C159">
        <v>0</v>
      </c>
      <c r="D159" t="s">
        <v>84</v>
      </c>
      <c r="E159">
        <v>2103</v>
      </c>
      <c r="F159">
        <v>2103</v>
      </c>
      <c r="G159"/>
      <c r="H159"/>
      <c r="J159" t="s">
        <v>178</v>
      </c>
      <c r="K159" t="s">
        <v>179</v>
      </c>
      <c r="L159" t="s">
        <v>550</v>
      </c>
      <c r="M159" t="s">
        <v>86</v>
      </c>
      <c r="N159" t="s">
        <v>551</v>
      </c>
      <c r="O159" t="s">
        <v>87</v>
      </c>
      <c r="P159" t="s">
        <v>182</v>
      </c>
      <c r="Q159" t="s">
        <v>183</v>
      </c>
      <c r="R159">
        <v>2026</v>
      </c>
      <c r="S159">
        <v>2026</v>
      </c>
      <c r="T159" t="s">
        <v>184</v>
      </c>
      <c r="U159">
        <v>85</v>
      </c>
      <c r="V159">
        <v>104702</v>
      </c>
      <c r="W159">
        <v>175.49</v>
      </c>
      <c r="X159">
        <v>485.38</v>
      </c>
      <c r="Y159">
        <v>0</v>
      </c>
      <c r="Z159">
        <v>75.209999999999994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15705.3</v>
      </c>
      <c r="AG159">
        <v>320000</v>
      </c>
      <c r="AH159">
        <v>150000</v>
      </c>
      <c r="AI159">
        <v>0</v>
      </c>
      <c r="AJ159">
        <v>150000</v>
      </c>
      <c r="AK159">
        <v>10000</v>
      </c>
      <c r="AL159">
        <v>10000</v>
      </c>
      <c r="AM159" s="42">
        <v>46113</v>
      </c>
      <c r="AN159" s="42">
        <v>46447</v>
      </c>
      <c r="AO159">
        <v>0</v>
      </c>
      <c r="AP159">
        <v>0</v>
      </c>
      <c r="AQ159">
        <v>0</v>
      </c>
      <c r="AR159" s="8">
        <f t="shared" si="4"/>
        <v>2757.7</v>
      </c>
      <c r="AS159" s="38">
        <f t="shared" si="5"/>
        <v>2072.8527819999995</v>
      </c>
      <c r="AT159" s="39" t="s">
        <v>858</v>
      </c>
      <c r="AU159" s="40">
        <f>VLOOKUP(N159,'Apólice Endosso'!D:XFD,23,0)</f>
        <v>0</v>
      </c>
      <c r="AV159" s="39" t="str">
        <f>VLOOKUP(N159,'Apólice Endosso'!D:XFD,28,0)</f>
        <v>Padrão (100%) sem blindagem - 150k - Contrato 2025</v>
      </c>
      <c r="AW159" s="41" t="str">
        <f>IF(VLOOKUP(N159,'Apólice Endosso'!D:XFD,47,0)=0,"",VLOOKUP(N159,'Apólice Endosso'!D:XFD,47,0))</f>
        <v/>
      </c>
      <c r="AX159" s="40">
        <f>VLOOKUP(N159,'Apólice Endosso'!D:XFD,30,0)</f>
        <v>5824.6</v>
      </c>
      <c r="AY159" s="36">
        <v>2061.2020520000001</v>
      </c>
      <c r="AZ159" s="16">
        <v>5824.6</v>
      </c>
      <c r="BA159" s="16"/>
    </row>
    <row r="160" spans="1:53" x14ac:dyDescent="0.3">
      <c r="A160" t="s">
        <v>85</v>
      </c>
      <c r="B160" s="9">
        <v>46139</v>
      </c>
      <c r="C160">
        <v>0</v>
      </c>
      <c r="D160" t="s">
        <v>84</v>
      </c>
      <c r="E160">
        <v>2103</v>
      </c>
      <c r="F160">
        <v>2103</v>
      </c>
      <c r="G160"/>
      <c r="H160"/>
      <c r="J160" t="s">
        <v>178</v>
      </c>
      <c r="K160" t="s">
        <v>179</v>
      </c>
      <c r="L160" t="s">
        <v>552</v>
      </c>
      <c r="M160" t="s">
        <v>86</v>
      </c>
      <c r="N160" t="s">
        <v>553</v>
      </c>
      <c r="O160" t="s">
        <v>87</v>
      </c>
      <c r="P160" t="s">
        <v>182</v>
      </c>
      <c r="Q160" t="s">
        <v>183</v>
      </c>
      <c r="R160">
        <v>2026</v>
      </c>
      <c r="S160">
        <v>2026</v>
      </c>
      <c r="T160" t="s">
        <v>184</v>
      </c>
      <c r="U160">
        <v>85</v>
      </c>
      <c r="V160">
        <v>104702</v>
      </c>
      <c r="W160">
        <v>175.49</v>
      </c>
      <c r="X160">
        <v>485.38</v>
      </c>
      <c r="Y160">
        <v>0</v>
      </c>
      <c r="Z160">
        <v>75.209999999999994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15705.3</v>
      </c>
      <c r="AG160">
        <v>320000</v>
      </c>
      <c r="AH160">
        <v>150000</v>
      </c>
      <c r="AI160">
        <v>0</v>
      </c>
      <c r="AJ160">
        <v>150000</v>
      </c>
      <c r="AK160">
        <v>10000</v>
      </c>
      <c r="AL160">
        <v>10000</v>
      </c>
      <c r="AM160" s="42">
        <v>46113</v>
      </c>
      <c r="AN160" s="42">
        <v>46447</v>
      </c>
      <c r="AO160">
        <v>0</v>
      </c>
      <c r="AP160">
        <v>0</v>
      </c>
      <c r="AQ160">
        <v>0</v>
      </c>
      <c r="AR160" s="8">
        <f t="shared" si="4"/>
        <v>2757.7</v>
      </c>
      <c r="AS160" s="38">
        <f t="shared" si="5"/>
        <v>2072.8527819999995</v>
      </c>
      <c r="AT160" s="39" t="s">
        <v>858</v>
      </c>
      <c r="AU160" s="40">
        <f>VLOOKUP(N160,'Apólice Endosso'!D:XFD,23,0)</f>
        <v>0</v>
      </c>
      <c r="AV160" s="39" t="str">
        <f>VLOOKUP(N160,'Apólice Endosso'!D:XFD,28,0)</f>
        <v>Padrão (100%) sem blindagem - 150k - Contrato 2025</v>
      </c>
      <c r="AW160" s="41" t="str">
        <f>IF(VLOOKUP(N160,'Apólice Endosso'!D:XFD,47,0)=0,"",VLOOKUP(N160,'Apólice Endosso'!D:XFD,47,0))</f>
        <v/>
      </c>
      <c r="AX160" s="40">
        <f>VLOOKUP(N160,'Apólice Endosso'!D:XFD,30,0)</f>
        <v>5824.6</v>
      </c>
      <c r="AY160" s="36">
        <v>2061.2020520000001</v>
      </c>
      <c r="AZ160" s="16">
        <v>5824.6</v>
      </c>
      <c r="BA160" s="16"/>
    </row>
    <row r="161" spans="1:53" x14ac:dyDescent="0.3">
      <c r="A161" t="s">
        <v>85</v>
      </c>
      <c r="B161" s="9">
        <v>46139</v>
      </c>
      <c r="C161">
        <v>0</v>
      </c>
      <c r="D161" t="s">
        <v>84</v>
      </c>
      <c r="E161">
        <v>2103</v>
      </c>
      <c r="F161">
        <v>2103</v>
      </c>
      <c r="G161"/>
      <c r="H161"/>
      <c r="J161" t="s">
        <v>178</v>
      </c>
      <c r="K161" t="s">
        <v>179</v>
      </c>
      <c r="L161" t="s">
        <v>554</v>
      </c>
      <c r="M161" t="s">
        <v>86</v>
      </c>
      <c r="N161" t="s">
        <v>555</v>
      </c>
      <c r="O161" t="s">
        <v>87</v>
      </c>
      <c r="P161" t="s">
        <v>182</v>
      </c>
      <c r="Q161" t="s">
        <v>183</v>
      </c>
      <c r="R161">
        <v>2026</v>
      </c>
      <c r="S161">
        <v>2026</v>
      </c>
      <c r="T161" t="s">
        <v>184</v>
      </c>
      <c r="U161">
        <v>85</v>
      </c>
      <c r="V161">
        <v>104702</v>
      </c>
      <c r="W161">
        <v>175.49</v>
      </c>
      <c r="X161">
        <v>485.38</v>
      </c>
      <c r="Y161">
        <v>0</v>
      </c>
      <c r="Z161">
        <v>75.209999999999994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15705.3</v>
      </c>
      <c r="AG161">
        <v>320000</v>
      </c>
      <c r="AH161">
        <v>150000</v>
      </c>
      <c r="AI161">
        <v>0</v>
      </c>
      <c r="AJ161">
        <v>150000</v>
      </c>
      <c r="AK161">
        <v>10000</v>
      </c>
      <c r="AL161">
        <v>10000</v>
      </c>
      <c r="AM161" s="42">
        <v>46113</v>
      </c>
      <c r="AN161" s="42">
        <v>46447</v>
      </c>
      <c r="AO161">
        <v>0</v>
      </c>
      <c r="AP161">
        <v>0</v>
      </c>
      <c r="AQ161">
        <v>0</v>
      </c>
      <c r="AR161" s="8">
        <f t="shared" si="4"/>
        <v>2757.7</v>
      </c>
      <c r="AS161" s="38">
        <f t="shared" si="5"/>
        <v>2072.8527819999995</v>
      </c>
      <c r="AT161" s="39" t="s">
        <v>858</v>
      </c>
      <c r="AU161" s="40">
        <f>VLOOKUP(N161,'Apólice Endosso'!D:XFD,23,0)</f>
        <v>0</v>
      </c>
      <c r="AV161" s="39" t="str">
        <f>VLOOKUP(N161,'Apólice Endosso'!D:XFD,28,0)</f>
        <v>Padrão (100%) sem blindagem - 150k - Contrato 2025</v>
      </c>
      <c r="AW161" s="41" t="str">
        <f>IF(VLOOKUP(N161,'Apólice Endosso'!D:XFD,47,0)=0,"",VLOOKUP(N161,'Apólice Endosso'!D:XFD,47,0))</f>
        <v/>
      </c>
      <c r="AX161" s="40">
        <f>VLOOKUP(N161,'Apólice Endosso'!D:XFD,30,0)</f>
        <v>5824.6</v>
      </c>
      <c r="AY161" s="36">
        <v>2061.2020520000001</v>
      </c>
      <c r="AZ161" s="16">
        <v>5824.6</v>
      </c>
      <c r="BA161" s="16"/>
    </row>
    <row r="162" spans="1:53" x14ac:dyDescent="0.3">
      <c r="A162" t="s">
        <v>85</v>
      </c>
      <c r="B162" s="9">
        <v>46139</v>
      </c>
      <c r="C162">
        <v>0</v>
      </c>
      <c r="D162" t="s">
        <v>84</v>
      </c>
      <c r="E162">
        <v>2103</v>
      </c>
      <c r="F162">
        <v>2103</v>
      </c>
      <c r="G162"/>
      <c r="H162"/>
      <c r="J162" t="s">
        <v>178</v>
      </c>
      <c r="K162" t="s">
        <v>179</v>
      </c>
      <c r="L162" t="s">
        <v>556</v>
      </c>
      <c r="M162" t="s">
        <v>86</v>
      </c>
      <c r="N162" t="s">
        <v>557</v>
      </c>
      <c r="O162" t="s">
        <v>87</v>
      </c>
      <c r="P162" t="s">
        <v>182</v>
      </c>
      <c r="Q162" t="s">
        <v>183</v>
      </c>
      <c r="R162">
        <v>2026</v>
      </c>
      <c r="S162">
        <v>2026</v>
      </c>
      <c r="T162" t="s">
        <v>184</v>
      </c>
      <c r="U162">
        <v>85</v>
      </c>
      <c r="V162">
        <v>104702</v>
      </c>
      <c r="W162">
        <v>175.49</v>
      </c>
      <c r="X162">
        <v>485.38</v>
      </c>
      <c r="Y162">
        <v>0</v>
      </c>
      <c r="Z162">
        <v>75.209999999999994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15705.3</v>
      </c>
      <c r="AG162">
        <v>320000</v>
      </c>
      <c r="AH162">
        <v>150000</v>
      </c>
      <c r="AI162">
        <v>0</v>
      </c>
      <c r="AJ162">
        <v>150000</v>
      </c>
      <c r="AK162">
        <v>10000</v>
      </c>
      <c r="AL162">
        <v>10000</v>
      </c>
      <c r="AM162" s="42">
        <v>46113</v>
      </c>
      <c r="AN162" s="42">
        <v>46447</v>
      </c>
      <c r="AO162">
        <v>0</v>
      </c>
      <c r="AP162">
        <v>0</v>
      </c>
      <c r="AQ162">
        <v>0</v>
      </c>
      <c r="AR162" s="8">
        <f t="shared" si="4"/>
        <v>2757.7</v>
      </c>
      <c r="AS162" s="38">
        <f t="shared" si="5"/>
        <v>2072.8527819999995</v>
      </c>
      <c r="AT162" s="39" t="s">
        <v>858</v>
      </c>
      <c r="AU162" s="40">
        <f>VLOOKUP(N162,'Apólice Endosso'!D:XFD,23,0)</f>
        <v>0</v>
      </c>
      <c r="AV162" s="39" t="str">
        <f>VLOOKUP(N162,'Apólice Endosso'!D:XFD,28,0)</f>
        <v>Padrão (100%) sem blindagem - 150k - Contrato 2025</v>
      </c>
      <c r="AW162" s="41" t="str">
        <f>IF(VLOOKUP(N162,'Apólice Endosso'!D:XFD,47,0)=0,"",VLOOKUP(N162,'Apólice Endosso'!D:XFD,47,0))</f>
        <v/>
      </c>
      <c r="AX162" s="40">
        <f>VLOOKUP(N162,'Apólice Endosso'!D:XFD,30,0)</f>
        <v>5824.6</v>
      </c>
      <c r="AY162" s="36">
        <v>2061.2020520000001</v>
      </c>
      <c r="AZ162" s="16">
        <v>5824.6</v>
      </c>
      <c r="BA162" s="16"/>
    </row>
    <row r="163" spans="1:53" x14ac:dyDescent="0.3">
      <c r="A163" t="s">
        <v>85</v>
      </c>
      <c r="B163" s="9">
        <v>46139</v>
      </c>
      <c r="C163">
        <v>0</v>
      </c>
      <c r="D163" t="s">
        <v>84</v>
      </c>
      <c r="E163">
        <v>2103</v>
      </c>
      <c r="F163">
        <v>2103</v>
      </c>
      <c r="G163"/>
      <c r="H163"/>
      <c r="J163" t="s">
        <v>178</v>
      </c>
      <c r="K163" t="s">
        <v>179</v>
      </c>
      <c r="L163" t="s">
        <v>558</v>
      </c>
      <c r="M163" t="s">
        <v>86</v>
      </c>
      <c r="N163" t="s">
        <v>559</v>
      </c>
      <c r="O163" t="s">
        <v>87</v>
      </c>
      <c r="P163" t="s">
        <v>182</v>
      </c>
      <c r="Q163" t="s">
        <v>183</v>
      </c>
      <c r="R163">
        <v>2026</v>
      </c>
      <c r="S163">
        <v>2026</v>
      </c>
      <c r="T163" t="s">
        <v>184</v>
      </c>
      <c r="U163">
        <v>85</v>
      </c>
      <c r="V163">
        <v>104702</v>
      </c>
      <c r="W163">
        <v>175.49</v>
      </c>
      <c r="X163">
        <v>485.38</v>
      </c>
      <c r="Y163">
        <v>0</v>
      </c>
      <c r="Z163">
        <v>75.209999999999994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15705.3</v>
      </c>
      <c r="AG163">
        <v>320000</v>
      </c>
      <c r="AH163">
        <v>150000</v>
      </c>
      <c r="AI163">
        <v>0</v>
      </c>
      <c r="AJ163">
        <v>150000</v>
      </c>
      <c r="AK163">
        <v>10000</v>
      </c>
      <c r="AL163">
        <v>10000</v>
      </c>
      <c r="AM163" s="42">
        <v>46113</v>
      </c>
      <c r="AN163" s="42">
        <v>46447</v>
      </c>
      <c r="AO163">
        <v>0</v>
      </c>
      <c r="AP163">
        <v>0</v>
      </c>
      <c r="AQ163">
        <v>0</v>
      </c>
      <c r="AR163" s="8">
        <f t="shared" si="4"/>
        <v>2757.7</v>
      </c>
      <c r="AS163" s="38">
        <f t="shared" si="5"/>
        <v>2072.8527819999995</v>
      </c>
      <c r="AT163" s="39" t="s">
        <v>858</v>
      </c>
      <c r="AU163" s="40">
        <f>VLOOKUP(N163,'Apólice Endosso'!D:XFD,23,0)</f>
        <v>0</v>
      </c>
      <c r="AV163" s="39" t="str">
        <f>VLOOKUP(N163,'Apólice Endosso'!D:XFD,28,0)</f>
        <v>Padrão (100%) sem blindagem - 150k - Contrato 2025</v>
      </c>
      <c r="AW163" s="41" t="str">
        <f>IF(VLOOKUP(N163,'Apólice Endosso'!D:XFD,47,0)=0,"",VLOOKUP(N163,'Apólice Endosso'!D:XFD,47,0))</f>
        <v/>
      </c>
      <c r="AX163" s="40">
        <f>VLOOKUP(N163,'Apólice Endosso'!D:XFD,30,0)</f>
        <v>5824.6</v>
      </c>
      <c r="AY163" s="36">
        <v>2061.2020520000001</v>
      </c>
      <c r="AZ163" s="16">
        <v>5824.6</v>
      </c>
      <c r="BA163" s="16"/>
    </row>
    <row r="164" spans="1:53" x14ac:dyDescent="0.3">
      <c r="A164" t="s">
        <v>85</v>
      </c>
      <c r="B164" s="9">
        <v>46139</v>
      </c>
      <c r="C164">
        <v>0</v>
      </c>
      <c r="D164" t="s">
        <v>84</v>
      </c>
      <c r="E164">
        <v>2103</v>
      </c>
      <c r="F164">
        <v>2103</v>
      </c>
      <c r="G164"/>
      <c r="H164"/>
      <c r="J164" t="s">
        <v>178</v>
      </c>
      <c r="K164" t="s">
        <v>179</v>
      </c>
      <c r="L164" t="s">
        <v>560</v>
      </c>
      <c r="M164" t="s">
        <v>86</v>
      </c>
      <c r="N164" t="s">
        <v>561</v>
      </c>
      <c r="O164" t="s">
        <v>87</v>
      </c>
      <c r="P164" t="s">
        <v>182</v>
      </c>
      <c r="Q164" t="s">
        <v>183</v>
      </c>
      <c r="R164">
        <v>2026</v>
      </c>
      <c r="S164">
        <v>2026</v>
      </c>
      <c r="T164" t="s">
        <v>184</v>
      </c>
      <c r="U164">
        <v>85</v>
      </c>
      <c r="V164">
        <v>104702</v>
      </c>
      <c r="W164">
        <v>175.49</v>
      </c>
      <c r="X164">
        <v>485.38</v>
      </c>
      <c r="Y164">
        <v>0</v>
      </c>
      <c r="Z164">
        <v>75.209999999999994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15705.3</v>
      </c>
      <c r="AG164">
        <v>320000</v>
      </c>
      <c r="AH164">
        <v>150000</v>
      </c>
      <c r="AI164">
        <v>0</v>
      </c>
      <c r="AJ164">
        <v>150000</v>
      </c>
      <c r="AK164">
        <v>10000</v>
      </c>
      <c r="AL164">
        <v>10000</v>
      </c>
      <c r="AM164" s="42">
        <v>46113</v>
      </c>
      <c r="AN164" s="42">
        <v>46447</v>
      </c>
      <c r="AO164">
        <v>0</v>
      </c>
      <c r="AP164">
        <v>0</v>
      </c>
      <c r="AQ164">
        <v>0</v>
      </c>
      <c r="AR164" s="8">
        <f t="shared" si="4"/>
        <v>2757.7</v>
      </c>
      <c r="AS164" s="38">
        <f t="shared" si="5"/>
        <v>2072.8527819999995</v>
      </c>
      <c r="AT164" s="39" t="s">
        <v>858</v>
      </c>
      <c r="AU164" s="40">
        <f>VLOOKUP(N164,'Apólice Endosso'!D:XFD,23,0)</f>
        <v>0</v>
      </c>
      <c r="AV164" s="39" t="str">
        <f>VLOOKUP(N164,'Apólice Endosso'!D:XFD,28,0)</f>
        <v>Padrão (100%) sem blindagem - 150k - Contrato 2025</v>
      </c>
      <c r="AW164" s="41" t="str">
        <f>IF(VLOOKUP(N164,'Apólice Endosso'!D:XFD,47,0)=0,"",VLOOKUP(N164,'Apólice Endosso'!D:XFD,47,0))</f>
        <v/>
      </c>
      <c r="AX164" s="40">
        <f>VLOOKUP(N164,'Apólice Endosso'!D:XFD,30,0)</f>
        <v>5824.6</v>
      </c>
      <c r="AY164" s="36">
        <v>2061.2020520000001</v>
      </c>
      <c r="AZ164" s="16">
        <v>5824.6</v>
      </c>
      <c r="BA164" s="16"/>
    </row>
    <row r="165" spans="1:53" x14ac:dyDescent="0.3">
      <c r="A165" t="s">
        <v>85</v>
      </c>
      <c r="B165" s="9">
        <v>46139</v>
      </c>
      <c r="C165">
        <v>0</v>
      </c>
      <c r="D165" t="s">
        <v>84</v>
      </c>
      <c r="E165">
        <v>2103</v>
      </c>
      <c r="F165">
        <v>2103</v>
      </c>
      <c r="G165"/>
      <c r="H165"/>
      <c r="J165" t="s">
        <v>178</v>
      </c>
      <c r="K165" t="s">
        <v>179</v>
      </c>
      <c r="L165" t="s">
        <v>562</v>
      </c>
      <c r="M165" t="s">
        <v>86</v>
      </c>
      <c r="N165" t="s">
        <v>563</v>
      </c>
      <c r="O165" t="s">
        <v>87</v>
      </c>
      <c r="P165" t="s">
        <v>182</v>
      </c>
      <c r="Q165" t="s">
        <v>183</v>
      </c>
      <c r="R165">
        <v>2026</v>
      </c>
      <c r="S165">
        <v>2026</v>
      </c>
      <c r="T165" t="s">
        <v>184</v>
      </c>
      <c r="U165">
        <v>85</v>
      </c>
      <c r="V165">
        <v>104702</v>
      </c>
      <c r="W165">
        <v>175.49</v>
      </c>
      <c r="X165">
        <v>485.38</v>
      </c>
      <c r="Y165">
        <v>0</v>
      </c>
      <c r="Z165">
        <v>75.209999999999994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15705.3</v>
      </c>
      <c r="AG165">
        <v>320000</v>
      </c>
      <c r="AH165">
        <v>150000</v>
      </c>
      <c r="AI165">
        <v>0</v>
      </c>
      <c r="AJ165">
        <v>150000</v>
      </c>
      <c r="AK165">
        <v>10000</v>
      </c>
      <c r="AL165">
        <v>10000</v>
      </c>
      <c r="AM165" s="42">
        <v>46113</v>
      </c>
      <c r="AN165" s="42">
        <v>46447</v>
      </c>
      <c r="AO165">
        <v>0</v>
      </c>
      <c r="AP165">
        <v>0</v>
      </c>
      <c r="AQ165">
        <v>0</v>
      </c>
      <c r="AR165" s="8">
        <f t="shared" si="4"/>
        <v>2757.7</v>
      </c>
      <c r="AS165" s="38">
        <f t="shared" si="5"/>
        <v>2072.8527819999995</v>
      </c>
      <c r="AT165" s="39" t="s">
        <v>858</v>
      </c>
      <c r="AU165" s="40">
        <f>VLOOKUP(N165,'Apólice Endosso'!D:XFD,23,0)</f>
        <v>0</v>
      </c>
      <c r="AV165" s="39" t="str">
        <f>VLOOKUP(N165,'Apólice Endosso'!D:XFD,28,0)</f>
        <v>Padrão (100%) sem blindagem - 150k - Contrato 2025</v>
      </c>
      <c r="AW165" s="41" t="str">
        <f>IF(VLOOKUP(N165,'Apólice Endosso'!D:XFD,47,0)=0,"",VLOOKUP(N165,'Apólice Endosso'!D:XFD,47,0))</f>
        <v/>
      </c>
      <c r="AX165" s="40">
        <f>VLOOKUP(N165,'Apólice Endosso'!D:XFD,30,0)</f>
        <v>5824.6</v>
      </c>
      <c r="AY165" s="36">
        <v>2061.2020520000001</v>
      </c>
      <c r="AZ165" s="16">
        <v>5824.6</v>
      </c>
      <c r="BA165" s="16"/>
    </row>
    <row r="166" spans="1:53" x14ac:dyDescent="0.3">
      <c r="A166" t="s">
        <v>85</v>
      </c>
      <c r="B166" s="9">
        <v>46139</v>
      </c>
      <c r="C166">
        <v>0</v>
      </c>
      <c r="D166" t="s">
        <v>84</v>
      </c>
      <c r="E166">
        <v>2103</v>
      </c>
      <c r="F166">
        <v>2103</v>
      </c>
      <c r="G166"/>
      <c r="H166"/>
      <c r="J166" t="s">
        <v>178</v>
      </c>
      <c r="K166" t="s">
        <v>179</v>
      </c>
      <c r="L166" t="s">
        <v>564</v>
      </c>
      <c r="M166" t="s">
        <v>86</v>
      </c>
      <c r="N166" t="s">
        <v>565</v>
      </c>
      <c r="O166" t="s">
        <v>87</v>
      </c>
      <c r="P166" t="s">
        <v>182</v>
      </c>
      <c r="Q166" t="s">
        <v>183</v>
      </c>
      <c r="R166">
        <v>2026</v>
      </c>
      <c r="S166">
        <v>2026</v>
      </c>
      <c r="T166" t="s">
        <v>184</v>
      </c>
      <c r="U166">
        <v>85</v>
      </c>
      <c r="V166">
        <v>104702</v>
      </c>
      <c r="W166">
        <v>175.49</v>
      </c>
      <c r="X166">
        <v>485.38</v>
      </c>
      <c r="Y166">
        <v>0</v>
      </c>
      <c r="Z166">
        <v>75.209999999999994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15705.3</v>
      </c>
      <c r="AG166">
        <v>320000</v>
      </c>
      <c r="AH166">
        <v>150000</v>
      </c>
      <c r="AI166">
        <v>0</v>
      </c>
      <c r="AJ166">
        <v>150000</v>
      </c>
      <c r="AK166">
        <v>10000</v>
      </c>
      <c r="AL166">
        <v>10000</v>
      </c>
      <c r="AM166" s="42">
        <v>46113</v>
      </c>
      <c r="AN166" s="42">
        <v>46447</v>
      </c>
      <c r="AO166">
        <v>0</v>
      </c>
      <c r="AP166">
        <v>0</v>
      </c>
      <c r="AQ166">
        <v>0</v>
      </c>
      <c r="AR166" s="8">
        <f t="shared" si="4"/>
        <v>2757.7</v>
      </c>
      <c r="AS166" s="38">
        <f t="shared" si="5"/>
        <v>2072.8527819999995</v>
      </c>
      <c r="AT166" s="39" t="s">
        <v>858</v>
      </c>
      <c r="AU166" s="40">
        <f>VLOOKUP(N166,'Apólice Endosso'!D:XFD,23,0)</f>
        <v>0</v>
      </c>
      <c r="AV166" s="39" t="str">
        <f>VLOOKUP(N166,'Apólice Endosso'!D:XFD,28,0)</f>
        <v>Padrão (100%) sem blindagem - 150k - Contrato 2025</v>
      </c>
      <c r="AW166" s="41" t="str">
        <f>IF(VLOOKUP(N166,'Apólice Endosso'!D:XFD,47,0)=0,"",VLOOKUP(N166,'Apólice Endosso'!D:XFD,47,0))</f>
        <v/>
      </c>
      <c r="AX166" s="40">
        <f>VLOOKUP(N166,'Apólice Endosso'!D:XFD,30,0)</f>
        <v>5824.6</v>
      </c>
      <c r="AY166" s="36">
        <v>2061.2020520000001</v>
      </c>
      <c r="AZ166" s="16">
        <v>5824.6</v>
      </c>
      <c r="BA166" s="16"/>
    </row>
    <row r="167" spans="1:53" x14ac:dyDescent="0.3">
      <c r="A167" t="s">
        <v>85</v>
      </c>
      <c r="B167" s="9">
        <v>46139</v>
      </c>
      <c r="C167">
        <v>0</v>
      </c>
      <c r="D167" t="s">
        <v>84</v>
      </c>
      <c r="E167">
        <v>2103</v>
      </c>
      <c r="F167">
        <v>2103</v>
      </c>
      <c r="G167"/>
      <c r="H167"/>
      <c r="J167" t="s">
        <v>149</v>
      </c>
      <c r="K167" t="s">
        <v>150</v>
      </c>
      <c r="L167" t="s">
        <v>566</v>
      </c>
      <c r="M167" t="s">
        <v>86</v>
      </c>
      <c r="N167" t="s">
        <v>567</v>
      </c>
      <c r="O167" t="s">
        <v>87</v>
      </c>
      <c r="P167" t="s">
        <v>89</v>
      </c>
      <c r="Q167" t="s">
        <v>90</v>
      </c>
      <c r="R167">
        <v>2026</v>
      </c>
      <c r="S167">
        <v>2026</v>
      </c>
      <c r="T167" t="s">
        <v>88</v>
      </c>
      <c r="U167">
        <v>85</v>
      </c>
      <c r="V167">
        <v>84669</v>
      </c>
      <c r="W167">
        <v>152.16</v>
      </c>
      <c r="X167">
        <v>420.86</v>
      </c>
      <c r="Y167">
        <v>0</v>
      </c>
      <c r="Z167">
        <v>65.209999999999994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12700.35</v>
      </c>
      <c r="AG167">
        <v>320000</v>
      </c>
      <c r="AH167">
        <v>150000</v>
      </c>
      <c r="AI167">
        <v>0</v>
      </c>
      <c r="AJ167">
        <v>150000</v>
      </c>
      <c r="AK167">
        <v>10000</v>
      </c>
      <c r="AL167">
        <v>10000</v>
      </c>
      <c r="AM167" s="42">
        <v>46113</v>
      </c>
      <c r="AN167" s="42">
        <v>46447</v>
      </c>
      <c r="AO167">
        <v>0</v>
      </c>
      <c r="AP167">
        <v>0</v>
      </c>
      <c r="AQ167">
        <v>0</v>
      </c>
      <c r="AR167" s="8">
        <f t="shared" si="4"/>
        <v>2391.0700000000002</v>
      </c>
      <c r="AS167" s="38">
        <f t="shared" si="5"/>
        <v>1797.2716762</v>
      </c>
      <c r="AT167" s="39" t="s">
        <v>173</v>
      </c>
      <c r="AU167" s="40">
        <f>VLOOKUP(N167,'Apólice Endosso'!D:XFD,23,0)</f>
        <v>0</v>
      </c>
      <c r="AV167" s="39" t="str">
        <f>VLOOKUP(N167,'Apólice Endosso'!D:XFD,28,0)</f>
        <v>Padrão (100%) sem blindagem - 150k - Contrato 2025</v>
      </c>
      <c r="AW167" s="41" t="str">
        <f>IF(VLOOKUP(N167,'Apólice Endosso'!D:XFD,47,0)=0,"",VLOOKUP(N167,'Apólice Endosso'!D:XFD,47,0))</f>
        <v/>
      </c>
      <c r="AX167" s="40">
        <f>VLOOKUP(N167,'Apólice Endosso'!D:XFD,30,0)</f>
        <v>5050.3500000000004</v>
      </c>
      <c r="AY167" s="36">
        <v>1809.0308599999998</v>
      </c>
      <c r="AZ167" s="16">
        <v>5050.3500000000004</v>
      </c>
      <c r="BA167" s="16"/>
    </row>
    <row r="168" spans="1:53" x14ac:dyDescent="0.3">
      <c r="A168" t="s">
        <v>85</v>
      </c>
      <c r="B168" s="9">
        <v>46139</v>
      </c>
      <c r="C168">
        <v>0</v>
      </c>
      <c r="D168" t="s">
        <v>84</v>
      </c>
      <c r="E168">
        <v>2103</v>
      </c>
      <c r="F168">
        <v>2103</v>
      </c>
      <c r="G168"/>
      <c r="H168"/>
      <c r="J168" t="s">
        <v>149</v>
      </c>
      <c r="K168" t="s">
        <v>150</v>
      </c>
      <c r="L168" t="s">
        <v>568</v>
      </c>
      <c r="M168" t="s">
        <v>86</v>
      </c>
      <c r="N168" t="s">
        <v>569</v>
      </c>
      <c r="O168" t="s">
        <v>87</v>
      </c>
      <c r="P168" t="s">
        <v>89</v>
      </c>
      <c r="Q168" t="s">
        <v>90</v>
      </c>
      <c r="R168">
        <v>2026</v>
      </c>
      <c r="S168">
        <v>2026</v>
      </c>
      <c r="T168" t="s">
        <v>88</v>
      </c>
      <c r="U168">
        <v>85</v>
      </c>
      <c r="V168">
        <v>84669</v>
      </c>
      <c r="W168">
        <v>152.16</v>
      </c>
      <c r="X168">
        <v>420.86</v>
      </c>
      <c r="Y168">
        <v>0</v>
      </c>
      <c r="Z168">
        <v>65.209999999999994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12700.35</v>
      </c>
      <c r="AG168">
        <v>320000</v>
      </c>
      <c r="AH168">
        <v>150000</v>
      </c>
      <c r="AI168">
        <v>0</v>
      </c>
      <c r="AJ168">
        <v>150000</v>
      </c>
      <c r="AK168">
        <v>10000</v>
      </c>
      <c r="AL168">
        <v>10000</v>
      </c>
      <c r="AM168" s="42">
        <v>46113</v>
      </c>
      <c r="AN168" s="42">
        <v>46447</v>
      </c>
      <c r="AO168">
        <v>0</v>
      </c>
      <c r="AP168">
        <v>0</v>
      </c>
      <c r="AQ168">
        <v>0</v>
      </c>
      <c r="AR168" s="8">
        <f t="shared" si="4"/>
        <v>2391.0700000000002</v>
      </c>
      <c r="AS168" s="38">
        <f t="shared" si="5"/>
        <v>1797.2716762</v>
      </c>
      <c r="AT168" s="39" t="s">
        <v>173</v>
      </c>
      <c r="AU168" s="40">
        <f>VLOOKUP(N168,'Apólice Endosso'!D:XFD,23,0)</f>
        <v>0</v>
      </c>
      <c r="AV168" s="39" t="str">
        <f>VLOOKUP(N168,'Apólice Endosso'!D:XFD,28,0)</f>
        <v>Padrão (100%) sem blindagem - 150k - Contrato 2025</v>
      </c>
      <c r="AW168" s="41" t="str">
        <f>IF(VLOOKUP(N168,'Apólice Endosso'!D:XFD,47,0)=0,"",VLOOKUP(N168,'Apólice Endosso'!D:XFD,47,0))</f>
        <v/>
      </c>
      <c r="AX168" s="40">
        <f>VLOOKUP(N168,'Apólice Endosso'!D:XFD,30,0)</f>
        <v>5050.3500000000004</v>
      </c>
      <c r="AY168" s="36">
        <v>1809.0308599999998</v>
      </c>
      <c r="AZ168" s="16">
        <v>5050.3500000000004</v>
      </c>
      <c r="BA168" s="16"/>
    </row>
    <row r="169" spans="1:53" x14ac:dyDescent="0.3">
      <c r="A169" t="s">
        <v>85</v>
      </c>
      <c r="B169" s="9">
        <v>46139</v>
      </c>
      <c r="C169">
        <v>0</v>
      </c>
      <c r="D169" t="s">
        <v>84</v>
      </c>
      <c r="E169">
        <v>2103</v>
      </c>
      <c r="F169">
        <v>2103</v>
      </c>
      <c r="G169"/>
      <c r="H169"/>
      <c r="J169" t="s">
        <v>149</v>
      </c>
      <c r="K169" t="s">
        <v>150</v>
      </c>
      <c r="L169" t="s">
        <v>570</v>
      </c>
      <c r="M169" t="s">
        <v>86</v>
      </c>
      <c r="N169" t="s">
        <v>571</v>
      </c>
      <c r="O169" t="s">
        <v>87</v>
      </c>
      <c r="P169" t="s">
        <v>89</v>
      </c>
      <c r="Q169" t="s">
        <v>90</v>
      </c>
      <c r="R169">
        <v>2026</v>
      </c>
      <c r="S169">
        <v>2026</v>
      </c>
      <c r="T169" t="s">
        <v>88</v>
      </c>
      <c r="U169">
        <v>85</v>
      </c>
      <c r="V169">
        <v>84669</v>
      </c>
      <c r="W169">
        <v>152.16</v>
      </c>
      <c r="X169">
        <v>420.86</v>
      </c>
      <c r="Y169">
        <v>0</v>
      </c>
      <c r="Z169">
        <v>65.209999999999994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12700.35</v>
      </c>
      <c r="AG169">
        <v>320000</v>
      </c>
      <c r="AH169">
        <v>150000</v>
      </c>
      <c r="AI169">
        <v>0</v>
      </c>
      <c r="AJ169">
        <v>150000</v>
      </c>
      <c r="AK169">
        <v>10000</v>
      </c>
      <c r="AL169">
        <v>10000</v>
      </c>
      <c r="AM169" s="42">
        <v>46113</v>
      </c>
      <c r="AN169" s="42">
        <v>46447</v>
      </c>
      <c r="AO169">
        <v>0</v>
      </c>
      <c r="AP169">
        <v>0</v>
      </c>
      <c r="AQ169">
        <v>0</v>
      </c>
      <c r="AR169" s="8">
        <f t="shared" si="4"/>
        <v>2391.0700000000002</v>
      </c>
      <c r="AS169" s="38">
        <f t="shared" si="5"/>
        <v>1797.2716762</v>
      </c>
      <c r="AT169" s="39" t="s">
        <v>173</v>
      </c>
      <c r="AU169" s="40">
        <f>VLOOKUP(N169,'Apólice Endosso'!D:XFD,23,0)</f>
        <v>0</v>
      </c>
      <c r="AV169" s="39" t="str">
        <f>VLOOKUP(N169,'Apólice Endosso'!D:XFD,28,0)</f>
        <v>Padrão (100%) sem blindagem - 150k - Contrato 2025</v>
      </c>
      <c r="AW169" s="41" t="str">
        <f>IF(VLOOKUP(N169,'Apólice Endosso'!D:XFD,47,0)=0,"",VLOOKUP(N169,'Apólice Endosso'!D:XFD,47,0))</f>
        <v/>
      </c>
      <c r="AX169" s="40">
        <f>VLOOKUP(N169,'Apólice Endosso'!D:XFD,30,0)</f>
        <v>5050.3500000000004</v>
      </c>
      <c r="AY169" s="36">
        <v>1809.0308599999998</v>
      </c>
      <c r="AZ169" s="16">
        <v>5050.3500000000004</v>
      </c>
      <c r="BA169" s="16"/>
    </row>
    <row r="170" spans="1:53" x14ac:dyDescent="0.3">
      <c r="A170" t="s">
        <v>85</v>
      </c>
      <c r="B170" s="9">
        <v>46139</v>
      </c>
      <c r="C170">
        <v>0</v>
      </c>
      <c r="D170" t="s">
        <v>84</v>
      </c>
      <c r="E170">
        <v>2103</v>
      </c>
      <c r="F170">
        <v>2103</v>
      </c>
      <c r="G170"/>
      <c r="H170"/>
      <c r="J170" t="s">
        <v>149</v>
      </c>
      <c r="K170" t="s">
        <v>150</v>
      </c>
      <c r="L170" t="s">
        <v>572</v>
      </c>
      <c r="M170" t="s">
        <v>86</v>
      </c>
      <c r="N170" t="s">
        <v>573</v>
      </c>
      <c r="O170" t="s">
        <v>87</v>
      </c>
      <c r="P170" t="s">
        <v>89</v>
      </c>
      <c r="Q170" t="s">
        <v>90</v>
      </c>
      <c r="R170">
        <v>2026</v>
      </c>
      <c r="S170">
        <v>2026</v>
      </c>
      <c r="T170" t="s">
        <v>88</v>
      </c>
      <c r="U170">
        <v>85</v>
      </c>
      <c r="V170">
        <v>84669</v>
      </c>
      <c r="W170">
        <v>152.16</v>
      </c>
      <c r="X170">
        <v>420.86</v>
      </c>
      <c r="Y170">
        <v>0</v>
      </c>
      <c r="Z170">
        <v>65.209999999999994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12700.35</v>
      </c>
      <c r="AG170">
        <v>320000</v>
      </c>
      <c r="AH170">
        <v>150000</v>
      </c>
      <c r="AI170">
        <v>0</v>
      </c>
      <c r="AJ170">
        <v>150000</v>
      </c>
      <c r="AK170">
        <v>10000</v>
      </c>
      <c r="AL170">
        <v>10000</v>
      </c>
      <c r="AM170" s="42">
        <v>46113</v>
      </c>
      <c r="AN170" s="42">
        <v>46447</v>
      </c>
      <c r="AO170">
        <v>0</v>
      </c>
      <c r="AP170">
        <v>0</v>
      </c>
      <c r="AQ170">
        <v>0</v>
      </c>
      <c r="AR170" s="8">
        <f t="shared" si="4"/>
        <v>2391.0700000000002</v>
      </c>
      <c r="AS170" s="38">
        <f t="shared" si="5"/>
        <v>1797.2716762</v>
      </c>
      <c r="AT170" s="39" t="s">
        <v>173</v>
      </c>
      <c r="AU170" s="40">
        <f>VLOOKUP(N170,'Apólice Endosso'!D:XFD,23,0)</f>
        <v>0</v>
      </c>
      <c r="AV170" s="39" t="str">
        <f>VLOOKUP(N170,'Apólice Endosso'!D:XFD,28,0)</f>
        <v>Padrão (100%) sem blindagem - 150k - Contrato 2025</v>
      </c>
      <c r="AW170" s="41" t="str">
        <f>IF(VLOOKUP(N170,'Apólice Endosso'!D:XFD,47,0)=0,"",VLOOKUP(N170,'Apólice Endosso'!D:XFD,47,0))</f>
        <v/>
      </c>
      <c r="AX170" s="40">
        <f>VLOOKUP(N170,'Apólice Endosso'!D:XFD,30,0)</f>
        <v>5050.3500000000004</v>
      </c>
      <c r="AY170" s="36">
        <v>1809.0308599999998</v>
      </c>
      <c r="AZ170" s="16">
        <v>5050.3500000000004</v>
      </c>
      <c r="BA170" s="16"/>
    </row>
    <row r="171" spans="1:53" x14ac:dyDescent="0.3">
      <c r="A171" t="s">
        <v>85</v>
      </c>
      <c r="B171" s="9">
        <v>46139</v>
      </c>
      <c r="C171">
        <v>0</v>
      </c>
      <c r="D171" t="s">
        <v>84</v>
      </c>
      <c r="E171">
        <v>2103</v>
      </c>
      <c r="F171">
        <v>2103</v>
      </c>
      <c r="G171"/>
      <c r="H171"/>
      <c r="J171" t="s">
        <v>574</v>
      </c>
      <c r="K171" t="s">
        <v>575</v>
      </c>
      <c r="L171" t="s">
        <v>576</v>
      </c>
      <c r="M171" t="s">
        <v>86</v>
      </c>
      <c r="N171" t="s">
        <v>577</v>
      </c>
      <c r="O171" t="s">
        <v>87</v>
      </c>
      <c r="P171" t="s">
        <v>91</v>
      </c>
      <c r="Q171" t="s">
        <v>92</v>
      </c>
      <c r="R171">
        <v>2024</v>
      </c>
      <c r="S171">
        <v>2024</v>
      </c>
      <c r="T171" t="s">
        <v>93</v>
      </c>
      <c r="U171">
        <v>85</v>
      </c>
      <c r="V171">
        <v>0</v>
      </c>
      <c r="W171">
        <v>328.53</v>
      </c>
      <c r="X171">
        <v>2065.1799999999998</v>
      </c>
      <c r="Y171">
        <v>0</v>
      </c>
      <c r="Z171">
        <v>140.80000000000001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620000</v>
      </c>
      <c r="AH171">
        <v>300000</v>
      </c>
      <c r="AI171">
        <v>0</v>
      </c>
      <c r="AJ171">
        <v>300000</v>
      </c>
      <c r="AK171">
        <v>10000</v>
      </c>
      <c r="AL171">
        <v>10000</v>
      </c>
      <c r="AM171" s="42">
        <v>46113</v>
      </c>
      <c r="AN171" s="42">
        <v>46447</v>
      </c>
      <c r="AO171">
        <v>0</v>
      </c>
      <c r="AP171">
        <v>0</v>
      </c>
      <c r="AQ171">
        <v>0</v>
      </c>
      <c r="AR171" s="8">
        <f t="shared" si="4"/>
        <v>5162.63</v>
      </c>
      <c r="AS171" s="38">
        <f t="shared" si="5"/>
        <v>3880.5424657999997</v>
      </c>
      <c r="AT171" s="39" t="s">
        <v>868</v>
      </c>
      <c r="AU171" s="40">
        <f>VLOOKUP(N171,'Apólice Endosso'!D:XFD,23,0)</f>
        <v>0</v>
      </c>
      <c r="AV171" s="39" t="str">
        <f>VLOOKUP(N171,'Apólice Endosso'!D:XFD,28,0)</f>
        <v>Padrão (100%) sem blindagem - 300k - Contrato 2025</v>
      </c>
      <c r="AW171" s="41" t="str">
        <f>IF(VLOOKUP(N171,'Apólice Endosso'!D:XFD,47,0)=0,"",VLOOKUP(N171,'Apólice Endosso'!D:XFD,47,0))</f>
        <v/>
      </c>
      <c r="AX171" s="40">
        <f>VLOOKUP(N171,'Apólice Endosso'!D:XFD,30,0)</f>
        <v>24782.1</v>
      </c>
      <c r="AY171" s="36">
        <v>3715.3694759999994</v>
      </c>
      <c r="AZ171" s="16">
        <v>24782.1</v>
      </c>
      <c r="BA171" s="16"/>
    </row>
    <row r="172" spans="1:53" x14ac:dyDescent="0.3">
      <c r="A172" t="s">
        <v>85</v>
      </c>
      <c r="B172" s="9">
        <v>46139</v>
      </c>
      <c r="C172">
        <v>0</v>
      </c>
      <c r="D172" t="s">
        <v>84</v>
      </c>
      <c r="E172">
        <v>2103</v>
      </c>
      <c r="F172">
        <v>2103</v>
      </c>
      <c r="G172"/>
      <c r="H172"/>
      <c r="J172" t="s">
        <v>578</v>
      </c>
      <c r="K172" t="s">
        <v>579</v>
      </c>
      <c r="L172" t="s">
        <v>580</v>
      </c>
      <c r="M172" t="s">
        <v>86</v>
      </c>
      <c r="N172" t="s">
        <v>581</v>
      </c>
      <c r="O172" t="s">
        <v>87</v>
      </c>
      <c r="P172" t="s">
        <v>89</v>
      </c>
      <c r="Q172" t="s">
        <v>90</v>
      </c>
      <c r="R172">
        <v>2026</v>
      </c>
      <c r="S172">
        <v>2026</v>
      </c>
      <c r="T172" t="s">
        <v>88</v>
      </c>
      <c r="U172">
        <v>85</v>
      </c>
      <c r="V172">
        <v>84669</v>
      </c>
      <c r="W172">
        <v>152.16</v>
      </c>
      <c r="X172">
        <v>420.86</v>
      </c>
      <c r="Y172">
        <v>0</v>
      </c>
      <c r="Z172">
        <v>65.209999999999994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12700.35</v>
      </c>
      <c r="AG172">
        <v>320000</v>
      </c>
      <c r="AH172">
        <v>150000</v>
      </c>
      <c r="AI172">
        <v>0</v>
      </c>
      <c r="AJ172">
        <v>150000</v>
      </c>
      <c r="AK172">
        <v>10000</v>
      </c>
      <c r="AL172">
        <v>10000</v>
      </c>
      <c r="AM172" s="42">
        <v>46113</v>
      </c>
      <c r="AN172" s="42">
        <v>46447</v>
      </c>
      <c r="AO172">
        <v>0</v>
      </c>
      <c r="AP172">
        <v>0</v>
      </c>
      <c r="AQ172">
        <v>0</v>
      </c>
      <c r="AR172" s="8">
        <f t="shared" si="4"/>
        <v>2391.0700000000002</v>
      </c>
      <c r="AS172" s="38">
        <f t="shared" si="5"/>
        <v>1797.2716762</v>
      </c>
      <c r="AT172" s="39" t="s">
        <v>859</v>
      </c>
      <c r="AU172" s="40">
        <f>VLOOKUP(N172,'Apólice Endosso'!D:XFD,23,0)</f>
        <v>0</v>
      </c>
      <c r="AV172" s="39" t="str">
        <f>VLOOKUP(N172,'Apólice Endosso'!D:XFD,28,0)</f>
        <v>Padrão (100%) sem blindagem - 150k - Contrato 2025</v>
      </c>
      <c r="AW172" s="41" t="str">
        <f>IF(VLOOKUP(N172,'Apólice Endosso'!D:XFD,47,0)=0,"",VLOOKUP(N172,'Apólice Endosso'!D:XFD,47,0))</f>
        <v/>
      </c>
      <c r="AX172" s="40">
        <f>VLOOKUP(N172,'Apólice Endosso'!D:XFD,30,0)</f>
        <v>5050.3500000000004</v>
      </c>
      <c r="AY172" s="36">
        <v>1809.0308599999998</v>
      </c>
      <c r="AZ172" s="16">
        <v>5050.3500000000004</v>
      </c>
      <c r="BA172" s="16"/>
    </row>
    <row r="173" spans="1:53" x14ac:dyDescent="0.3">
      <c r="A173" t="s">
        <v>85</v>
      </c>
      <c r="B173" s="9">
        <v>46139</v>
      </c>
      <c r="C173">
        <v>0</v>
      </c>
      <c r="D173" t="s">
        <v>84</v>
      </c>
      <c r="E173">
        <v>2103</v>
      </c>
      <c r="F173">
        <v>2103</v>
      </c>
      <c r="G173"/>
      <c r="H173"/>
      <c r="J173" t="s">
        <v>578</v>
      </c>
      <c r="K173" t="s">
        <v>579</v>
      </c>
      <c r="L173" t="s">
        <v>582</v>
      </c>
      <c r="M173" t="s">
        <v>86</v>
      </c>
      <c r="N173" t="s">
        <v>583</v>
      </c>
      <c r="O173" t="s">
        <v>87</v>
      </c>
      <c r="P173" t="s">
        <v>89</v>
      </c>
      <c r="Q173" t="s">
        <v>90</v>
      </c>
      <c r="R173">
        <v>2026</v>
      </c>
      <c r="S173">
        <v>2026</v>
      </c>
      <c r="T173" t="s">
        <v>88</v>
      </c>
      <c r="U173">
        <v>85</v>
      </c>
      <c r="V173">
        <v>84669</v>
      </c>
      <c r="W173">
        <v>152.16</v>
      </c>
      <c r="X173">
        <v>420.86</v>
      </c>
      <c r="Y173">
        <v>0</v>
      </c>
      <c r="Z173">
        <v>65.209999999999994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12700.35</v>
      </c>
      <c r="AG173">
        <v>320000</v>
      </c>
      <c r="AH173">
        <v>150000</v>
      </c>
      <c r="AI173">
        <v>0</v>
      </c>
      <c r="AJ173">
        <v>150000</v>
      </c>
      <c r="AK173">
        <v>10000</v>
      </c>
      <c r="AL173">
        <v>10000</v>
      </c>
      <c r="AM173" s="42">
        <v>46113</v>
      </c>
      <c r="AN173" s="42">
        <v>46447</v>
      </c>
      <c r="AO173">
        <v>0</v>
      </c>
      <c r="AP173">
        <v>0</v>
      </c>
      <c r="AQ173">
        <v>0</v>
      </c>
      <c r="AR173" s="8">
        <f t="shared" si="4"/>
        <v>2391.0700000000002</v>
      </c>
      <c r="AS173" s="38">
        <f t="shared" si="5"/>
        <v>1797.2716762</v>
      </c>
      <c r="AT173" s="39" t="s">
        <v>859</v>
      </c>
      <c r="AU173" s="40">
        <f>VLOOKUP(N173,'Apólice Endosso'!D:XFD,23,0)</f>
        <v>0</v>
      </c>
      <c r="AV173" s="39" t="str">
        <f>VLOOKUP(N173,'Apólice Endosso'!D:XFD,28,0)</f>
        <v>Padrão (100%) sem blindagem - 150k - Contrato 2025</v>
      </c>
      <c r="AW173" s="41" t="str">
        <f>IF(VLOOKUP(N173,'Apólice Endosso'!D:XFD,47,0)=0,"",VLOOKUP(N173,'Apólice Endosso'!D:XFD,47,0))</f>
        <v/>
      </c>
      <c r="AX173" s="40">
        <f>VLOOKUP(N173,'Apólice Endosso'!D:XFD,30,0)</f>
        <v>5050.3500000000004</v>
      </c>
      <c r="AY173" s="36">
        <v>1809.0308599999998</v>
      </c>
      <c r="AZ173" s="16">
        <v>5050.3500000000004</v>
      </c>
      <c r="BA173" s="16"/>
    </row>
    <row r="174" spans="1:53" x14ac:dyDescent="0.3">
      <c r="A174" t="s">
        <v>85</v>
      </c>
      <c r="B174" s="9">
        <v>46139</v>
      </c>
      <c r="C174">
        <v>0</v>
      </c>
      <c r="D174" t="s">
        <v>84</v>
      </c>
      <c r="E174">
        <v>2103</v>
      </c>
      <c r="F174">
        <v>2103</v>
      </c>
      <c r="G174"/>
      <c r="H174"/>
      <c r="J174" t="s">
        <v>584</v>
      </c>
      <c r="K174" t="s">
        <v>585</v>
      </c>
      <c r="L174" t="s">
        <v>586</v>
      </c>
      <c r="M174" t="s">
        <v>86</v>
      </c>
      <c r="N174" t="s">
        <v>587</v>
      </c>
      <c r="O174" t="s">
        <v>87</v>
      </c>
      <c r="P174" t="s">
        <v>91</v>
      </c>
      <c r="Q174" t="s">
        <v>92</v>
      </c>
      <c r="R174">
        <v>2024</v>
      </c>
      <c r="S174">
        <v>2024</v>
      </c>
      <c r="T174" t="s">
        <v>93</v>
      </c>
      <c r="U174">
        <v>85</v>
      </c>
      <c r="V174">
        <v>0</v>
      </c>
      <c r="W174">
        <v>322.58</v>
      </c>
      <c r="X174">
        <v>2037.92</v>
      </c>
      <c r="Y174">
        <v>0</v>
      </c>
      <c r="Z174">
        <v>138.25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320000</v>
      </c>
      <c r="AH174">
        <v>150000</v>
      </c>
      <c r="AI174">
        <v>0</v>
      </c>
      <c r="AJ174">
        <v>150000</v>
      </c>
      <c r="AK174">
        <v>10000</v>
      </c>
      <c r="AL174">
        <v>10000</v>
      </c>
      <c r="AM174" s="42">
        <v>46113</v>
      </c>
      <c r="AN174" s="42">
        <v>46447</v>
      </c>
      <c r="AO174">
        <v>0</v>
      </c>
      <c r="AP174">
        <v>0</v>
      </c>
      <c r="AQ174">
        <v>0</v>
      </c>
      <c r="AR174" s="8">
        <f t="shared" si="4"/>
        <v>5069.13</v>
      </c>
      <c r="AS174" s="38">
        <f t="shared" si="5"/>
        <v>3810.2622558000003</v>
      </c>
      <c r="AT174" s="39" t="s">
        <v>860</v>
      </c>
      <c r="AU174" s="40">
        <f>VLOOKUP(N174,'Apólice Endosso'!D:XFD,23,0)</f>
        <v>0</v>
      </c>
      <c r="AV174" s="39" t="str">
        <f>VLOOKUP(N174,'Apólice Endosso'!D:XFD,28,0)</f>
        <v>Padrão (100%) sem blindagem - 150k - Contrato 2025</v>
      </c>
      <c r="AW174" s="41" t="str">
        <f>IF(VLOOKUP(N174,'Apólice Endosso'!D:XFD,47,0)=0,"",VLOOKUP(N174,'Apólice Endosso'!D:XFD,47,0))</f>
        <v/>
      </c>
      <c r="AX174" s="40">
        <f>VLOOKUP(N174,'Apólice Endosso'!D:XFD,30,0)</f>
        <v>24455.05</v>
      </c>
      <c r="AY174" s="36">
        <v>3651.0381179999995</v>
      </c>
      <c r="AZ174" s="16">
        <v>24455.05</v>
      </c>
      <c r="BA174" s="16"/>
    </row>
    <row r="175" spans="1:53" x14ac:dyDescent="0.3">
      <c r="A175" t="s">
        <v>85</v>
      </c>
      <c r="B175" s="9">
        <v>46139</v>
      </c>
      <c r="C175">
        <v>0</v>
      </c>
      <c r="D175" t="s">
        <v>84</v>
      </c>
      <c r="E175">
        <v>2103</v>
      </c>
      <c r="F175">
        <v>2103</v>
      </c>
      <c r="G175"/>
      <c r="H175"/>
      <c r="J175" t="s">
        <v>578</v>
      </c>
      <c r="K175" t="s">
        <v>579</v>
      </c>
      <c r="L175" t="s">
        <v>588</v>
      </c>
      <c r="M175" t="s">
        <v>86</v>
      </c>
      <c r="N175" t="s">
        <v>589</v>
      </c>
      <c r="O175" t="s">
        <v>87</v>
      </c>
      <c r="P175" t="s">
        <v>89</v>
      </c>
      <c r="Q175" t="s">
        <v>90</v>
      </c>
      <c r="R175">
        <v>2026</v>
      </c>
      <c r="S175">
        <v>2026</v>
      </c>
      <c r="T175" t="s">
        <v>88</v>
      </c>
      <c r="U175">
        <v>85</v>
      </c>
      <c r="V175">
        <v>84669</v>
      </c>
      <c r="W175">
        <v>152.16</v>
      </c>
      <c r="X175">
        <v>420.86</v>
      </c>
      <c r="Y175">
        <v>0</v>
      </c>
      <c r="Z175">
        <v>65.209999999999994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12700.35</v>
      </c>
      <c r="AG175">
        <v>320000</v>
      </c>
      <c r="AH175">
        <v>150000</v>
      </c>
      <c r="AI175">
        <v>0</v>
      </c>
      <c r="AJ175">
        <v>150000</v>
      </c>
      <c r="AK175">
        <v>10000</v>
      </c>
      <c r="AL175">
        <v>10000</v>
      </c>
      <c r="AM175" s="42">
        <v>46113</v>
      </c>
      <c r="AN175" s="42">
        <v>46447</v>
      </c>
      <c r="AO175">
        <v>0</v>
      </c>
      <c r="AP175">
        <v>0</v>
      </c>
      <c r="AQ175">
        <v>0</v>
      </c>
      <c r="AR175" s="8">
        <f t="shared" si="4"/>
        <v>2391.0700000000002</v>
      </c>
      <c r="AS175" s="38">
        <f t="shared" si="5"/>
        <v>1797.2716762</v>
      </c>
      <c r="AT175" s="39" t="s">
        <v>859</v>
      </c>
      <c r="AU175" s="40">
        <f>VLOOKUP(N175,'Apólice Endosso'!D:XFD,23,0)</f>
        <v>0</v>
      </c>
      <c r="AV175" s="39" t="str">
        <f>VLOOKUP(N175,'Apólice Endosso'!D:XFD,28,0)</f>
        <v>Padrão (100%) sem blindagem - 150k - Contrato 2025</v>
      </c>
      <c r="AW175" s="41" t="str">
        <f>IF(VLOOKUP(N175,'Apólice Endosso'!D:XFD,47,0)=0,"",VLOOKUP(N175,'Apólice Endosso'!D:XFD,47,0))</f>
        <v/>
      </c>
      <c r="AX175" s="40">
        <f>VLOOKUP(N175,'Apólice Endosso'!D:XFD,30,0)</f>
        <v>5050.3500000000004</v>
      </c>
      <c r="AY175" s="36">
        <v>1809.0308599999998</v>
      </c>
      <c r="AZ175" s="16">
        <v>5050.3500000000004</v>
      </c>
      <c r="BA175" s="16"/>
    </row>
    <row r="176" spans="1:53" x14ac:dyDescent="0.3">
      <c r="A176" t="s">
        <v>85</v>
      </c>
      <c r="B176" s="9">
        <v>46139</v>
      </c>
      <c r="C176">
        <v>0</v>
      </c>
      <c r="D176" t="s">
        <v>84</v>
      </c>
      <c r="E176">
        <v>2103</v>
      </c>
      <c r="F176">
        <v>2103</v>
      </c>
      <c r="G176"/>
      <c r="H176"/>
      <c r="J176" t="s">
        <v>578</v>
      </c>
      <c r="K176" t="s">
        <v>579</v>
      </c>
      <c r="L176" t="s">
        <v>590</v>
      </c>
      <c r="M176" t="s">
        <v>86</v>
      </c>
      <c r="N176" t="s">
        <v>591</v>
      </c>
      <c r="O176" t="s">
        <v>87</v>
      </c>
      <c r="P176" t="s">
        <v>89</v>
      </c>
      <c r="Q176" t="s">
        <v>90</v>
      </c>
      <c r="R176">
        <v>2026</v>
      </c>
      <c r="S176">
        <v>2026</v>
      </c>
      <c r="T176" t="s">
        <v>88</v>
      </c>
      <c r="U176">
        <v>85</v>
      </c>
      <c r="V176">
        <v>84669</v>
      </c>
      <c r="W176">
        <v>152.16</v>
      </c>
      <c r="X176">
        <v>420.86</v>
      </c>
      <c r="Y176">
        <v>0</v>
      </c>
      <c r="Z176">
        <v>65.209999999999994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12700.35</v>
      </c>
      <c r="AG176">
        <v>320000</v>
      </c>
      <c r="AH176">
        <v>150000</v>
      </c>
      <c r="AI176">
        <v>0</v>
      </c>
      <c r="AJ176">
        <v>150000</v>
      </c>
      <c r="AK176">
        <v>10000</v>
      </c>
      <c r="AL176">
        <v>10000</v>
      </c>
      <c r="AM176" s="42">
        <v>46113</v>
      </c>
      <c r="AN176" s="42">
        <v>46447</v>
      </c>
      <c r="AO176">
        <v>0</v>
      </c>
      <c r="AP176">
        <v>0</v>
      </c>
      <c r="AQ176">
        <v>0</v>
      </c>
      <c r="AR176" s="8">
        <f t="shared" si="4"/>
        <v>2391.0700000000002</v>
      </c>
      <c r="AS176" s="38">
        <f t="shared" si="5"/>
        <v>1797.2716762</v>
      </c>
      <c r="AT176" s="39" t="s">
        <v>859</v>
      </c>
      <c r="AU176" s="40">
        <f>VLOOKUP(N176,'Apólice Endosso'!D:XFD,23,0)</f>
        <v>0</v>
      </c>
      <c r="AV176" s="39" t="str">
        <f>VLOOKUP(N176,'Apólice Endosso'!D:XFD,28,0)</f>
        <v>Padrão (100%) sem blindagem - 150k - Contrato 2025</v>
      </c>
      <c r="AW176" s="41" t="str">
        <f>IF(VLOOKUP(N176,'Apólice Endosso'!D:XFD,47,0)=0,"",VLOOKUP(N176,'Apólice Endosso'!D:XFD,47,0))</f>
        <v/>
      </c>
      <c r="AX176" s="40">
        <f>VLOOKUP(N176,'Apólice Endosso'!D:XFD,30,0)</f>
        <v>5050.3500000000004</v>
      </c>
      <c r="AY176" s="36">
        <v>1809.0308599999998</v>
      </c>
      <c r="AZ176" s="16">
        <v>5050.3500000000004</v>
      </c>
      <c r="BA176" s="16"/>
    </row>
    <row r="177" spans="1:53" x14ac:dyDescent="0.3">
      <c r="A177" t="s">
        <v>85</v>
      </c>
      <c r="B177" s="9">
        <v>46139</v>
      </c>
      <c r="C177">
        <v>0</v>
      </c>
      <c r="D177" t="s">
        <v>84</v>
      </c>
      <c r="E177">
        <v>2103</v>
      </c>
      <c r="F177">
        <v>2103</v>
      </c>
      <c r="G177"/>
      <c r="H177"/>
      <c r="J177" t="s">
        <v>578</v>
      </c>
      <c r="K177" t="s">
        <v>579</v>
      </c>
      <c r="L177" t="s">
        <v>592</v>
      </c>
      <c r="M177" t="s">
        <v>86</v>
      </c>
      <c r="N177" t="s">
        <v>593</v>
      </c>
      <c r="O177" t="s">
        <v>87</v>
      </c>
      <c r="P177" t="s">
        <v>89</v>
      </c>
      <c r="Q177" t="s">
        <v>90</v>
      </c>
      <c r="R177">
        <v>2026</v>
      </c>
      <c r="S177">
        <v>2026</v>
      </c>
      <c r="T177" t="s">
        <v>88</v>
      </c>
      <c r="U177">
        <v>85</v>
      </c>
      <c r="V177">
        <v>84669</v>
      </c>
      <c r="W177">
        <v>152.16</v>
      </c>
      <c r="X177">
        <v>420.86</v>
      </c>
      <c r="Y177">
        <v>0</v>
      </c>
      <c r="Z177">
        <v>65.209999999999994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12700.35</v>
      </c>
      <c r="AG177">
        <v>320000</v>
      </c>
      <c r="AH177">
        <v>150000</v>
      </c>
      <c r="AI177">
        <v>0</v>
      </c>
      <c r="AJ177">
        <v>150000</v>
      </c>
      <c r="AK177">
        <v>10000</v>
      </c>
      <c r="AL177">
        <v>10000</v>
      </c>
      <c r="AM177" s="42">
        <v>46113</v>
      </c>
      <c r="AN177" s="42">
        <v>46447</v>
      </c>
      <c r="AO177">
        <v>0</v>
      </c>
      <c r="AP177">
        <v>0</v>
      </c>
      <c r="AQ177">
        <v>0</v>
      </c>
      <c r="AR177" s="8">
        <f t="shared" si="4"/>
        <v>2391.0700000000002</v>
      </c>
      <c r="AS177" s="38">
        <f t="shared" si="5"/>
        <v>1797.2716762</v>
      </c>
      <c r="AT177" s="39" t="s">
        <v>859</v>
      </c>
      <c r="AU177" s="40">
        <f>VLOOKUP(N177,'Apólice Endosso'!D:XFD,23,0)</f>
        <v>0</v>
      </c>
      <c r="AV177" s="39" t="str">
        <f>VLOOKUP(N177,'Apólice Endosso'!D:XFD,28,0)</f>
        <v>Padrão (100%) sem blindagem - 150k - Contrato 2025</v>
      </c>
      <c r="AW177" s="41" t="str">
        <f>IF(VLOOKUP(N177,'Apólice Endosso'!D:XFD,47,0)=0,"",VLOOKUP(N177,'Apólice Endosso'!D:XFD,47,0))</f>
        <v/>
      </c>
      <c r="AX177" s="40">
        <f>VLOOKUP(N177,'Apólice Endosso'!D:XFD,30,0)</f>
        <v>5050.3500000000004</v>
      </c>
      <c r="AY177" s="36">
        <v>1809.0308599999998</v>
      </c>
      <c r="AZ177" s="16">
        <v>5050.3500000000004</v>
      </c>
      <c r="BA177" s="16"/>
    </row>
    <row r="178" spans="1:53" x14ac:dyDescent="0.3">
      <c r="A178" t="s">
        <v>85</v>
      </c>
      <c r="B178" s="9">
        <v>46139</v>
      </c>
      <c r="C178">
        <v>0</v>
      </c>
      <c r="D178" t="s">
        <v>84</v>
      </c>
      <c r="E178">
        <v>2103</v>
      </c>
      <c r="F178">
        <v>2103</v>
      </c>
      <c r="G178"/>
      <c r="H178"/>
      <c r="J178" t="s">
        <v>149</v>
      </c>
      <c r="K178" t="s">
        <v>150</v>
      </c>
      <c r="L178" t="s">
        <v>594</v>
      </c>
      <c r="M178" t="s">
        <v>86</v>
      </c>
      <c r="N178" t="s">
        <v>595</v>
      </c>
      <c r="O178" t="s">
        <v>87</v>
      </c>
      <c r="P178" t="s">
        <v>89</v>
      </c>
      <c r="Q178" t="s">
        <v>90</v>
      </c>
      <c r="R178">
        <v>2026</v>
      </c>
      <c r="S178">
        <v>2026</v>
      </c>
      <c r="T178" t="s">
        <v>88</v>
      </c>
      <c r="U178">
        <v>85</v>
      </c>
      <c r="V178">
        <v>84669</v>
      </c>
      <c r="W178">
        <v>152.16</v>
      </c>
      <c r="X178">
        <v>420.86</v>
      </c>
      <c r="Y178">
        <v>0</v>
      </c>
      <c r="Z178">
        <v>65.209999999999994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12700.35</v>
      </c>
      <c r="AG178">
        <v>320000</v>
      </c>
      <c r="AH178">
        <v>150000</v>
      </c>
      <c r="AI178">
        <v>0</v>
      </c>
      <c r="AJ178">
        <v>150000</v>
      </c>
      <c r="AK178">
        <v>10000</v>
      </c>
      <c r="AL178">
        <v>10000</v>
      </c>
      <c r="AM178" s="42">
        <v>46113</v>
      </c>
      <c r="AN178" s="42">
        <v>46447</v>
      </c>
      <c r="AO178">
        <v>0</v>
      </c>
      <c r="AP178">
        <v>0</v>
      </c>
      <c r="AQ178">
        <v>0</v>
      </c>
      <c r="AR178" s="8">
        <f t="shared" si="4"/>
        <v>2391.0700000000002</v>
      </c>
      <c r="AS178" s="38">
        <f t="shared" si="5"/>
        <v>1797.2716762</v>
      </c>
      <c r="AT178" s="39" t="s">
        <v>173</v>
      </c>
      <c r="AU178" s="40">
        <f>VLOOKUP(N178,'Apólice Endosso'!D:XFD,23,0)</f>
        <v>0</v>
      </c>
      <c r="AV178" s="39" t="str">
        <f>VLOOKUP(N178,'Apólice Endosso'!D:XFD,28,0)</f>
        <v>Padrão (100%) sem blindagem - 150k - Contrato 2025</v>
      </c>
      <c r="AW178" s="41" t="str">
        <f>IF(VLOOKUP(N178,'Apólice Endosso'!D:XFD,47,0)=0,"",VLOOKUP(N178,'Apólice Endosso'!D:XFD,47,0))</f>
        <v/>
      </c>
      <c r="AX178" s="40">
        <f>VLOOKUP(N178,'Apólice Endosso'!D:XFD,30,0)</f>
        <v>5050.3500000000004</v>
      </c>
      <c r="AY178" s="36">
        <v>1809.0308599999998</v>
      </c>
      <c r="AZ178" s="16">
        <v>5050.3500000000004</v>
      </c>
      <c r="BA178" s="16"/>
    </row>
    <row r="179" spans="1:53" x14ac:dyDescent="0.3">
      <c r="A179" t="s">
        <v>85</v>
      </c>
      <c r="B179" s="9">
        <v>46139</v>
      </c>
      <c r="C179">
        <v>0</v>
      </c>
      <c r="D179" t="s">
        <v>84</v>
      </c>
      <c r="E179">
        <v>2103</v>
      </c>
      <c r="F179">
        <v>2103</v>
      </c>
      <c r="G179"/>
      <c r="H179"/>
      <c r="J179" t="s">
        <v>470</v>
      </c>
      <c r="K179" t="s">
        <v>471</v>
      </c>
      <c r="L179" t="s">
        <v>596</v>
      </c>
      <c r="M179" t="s">
        <v>86</v>
      </c>
      <c r="N179" t="s">
        <v>597</v>
      </c>
      <c r="O179" t="s">
        <v>87</v>
      </c>
      <c r="P179" t="s">
        <v>89</v>
      </c>
      <c r="Q179" t="s">
        <v>90</v>
      </c>
      <c r="R179">
        <v>2026</v>
      </c>
      <c r="S179">
        <v>2026</v>
      </c>
      <c r="T179" t="s">
        <v>88</v>
      </c>
      <c r="U179">
        <v>85</v>
      </c>
      <c r="V179">
        <v>84669</v>
      </c>
      <c r="W179">
        <v>152.16</v>
      </c>
      <c r="X179">
        <v>420.86</v>
      </c>
      <c r="Y179">
        <v>0</v>
      </c>
      <c r="Z179">
        <v>65.209999999999994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12700.35</v>
      </c>
      <c r="AG179">
        <v>320000</v>
      </c>
      <c r="AH179">
        <v>150000</v>
      </c>
      <c r="AI179">
        <v>0</v>
      </c>
      <c r="AJ179">
        <v>150000</v>
      </c>
      <c r="AK179">
        <v>10000</v>
      </c>
      <c r="AL179">
        <v>10000</v>
      </c>
      <c r="AM179" s="42">
        <v>46113</v>
      </c>
      <c r="AN179" s="42">
        <v>46447</v>
      </c>
      <c r="AO179">
        <v>0</v>
      </c>
      <c r="AP179">
        <v>0</v>
      </c>
      <c r="AQ179">
        <v>0</v>
      </c>
      <c r="AR179" s="8">
        <f t="shared" si="4"/>
        <v>2391.0700000000002</v>
      </c>
      <c r="AS179" s="38">
        <f t="shared" si="5"/>
        <v>1797.2716762</v>
      </c>
      <c r="AT179" s="39" t="s">
        <v>868</v>
      </c>
      <c r="AU179" s="40">
        <f>VLOOKUP(N179,'Apólice Endosso'!D:XFD,23,0)</f>
        <v>0</v>
      </c>
      <c r="AV179" s="39" t="str">
        <f>VLOOKUP(N179,'Apólice Endosso'!D:XFD,28,0)</f>
        <v>Padrão (100%) sem blindagem - 150k - Contrato 2025</v>
      </c>
      <c r="AW179" s="41" t="str">
        <f>IF(VLOOKUP(N179,'Apólice Endosso'!D:XFD,47,0)=0,"",VLOOKUP(N179,'Apólice Endosso'!D:XFD,47,0))</f>
        <v/>
      </c>
      <c r="AX179" s="40">
        <f>VLOOKUP(N179,'Apólice Endosso'!D:XFD,30,0)</f>
        <v>5050.3500000000004</v>
      </c>
      <c r="AY179" s="36">
        <v>1809.0308599999998</v>
      </c>
      <c r="AZ179" s="16">
        <v>5050.3500000000004</v>
      </c>
      <c r="BA179" s="16"/>
    </row>
    <row r="180" spans="1:53" x14ac:dyDescent="0.3">
      <c r="A180" t="s">
        <v>85</v>
      </c>
      <c r="B180" s="9">
        <v>46139</v>
      </c>
      <c r="C180">
        <v>0</v>
      </c>
      <c r="D180" t="s">
        <v>84</v>
      </c>
      <c r="E180">
        <v>2103</v>
      </c>
      <c r="F180">
        <v>2103</v>
      </c>
      <c r="G180"/>
      <c r="H180"/>
      <c r="J180" t="s">
        <v>470</v>
      </c>
      <c r="K180" t="s">
        <v>471</v>
      </c>
      <c r="L180" t="s">
        <v>598</v>
      </c>
      <c r="M180" t="s">
        <v>86</v>
      </c>
      <c r="N180" t="s">
        <v>599</v>
      </c>
      <c r="O180" t="s">
        <v>87</v>
      </c>
      <c r="P180" t="s">
        <v>89</v>
      </c>
      <c r="Q180" t="s">
        <v>90</v>
      </c>
      <c r="R180">
        <v>2026</v>
      </c>
      <c r="S180">
        <v>2026</v>
      </c>
      <c r="T180" t="s">
        <v>88</v>
      </c>
      <c r="U180">
        <v>85</v>
      </c>
      <c r="V180">
        <v>84669</v>
      </c>
      <c r="W180">
        <v>152.16</v>
      </c>
      <c r="X180">
        <v>420.86</v>
      </c>
      <c r="Y180">
        <v>0</v>
      </c>
      <c r="Z180">
        <v>65.209999999999994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12700.35</v>
      </c>
      <c r="AG180">
        <v>320000</v>
      </c>
      <c r="AH180">
        <v>150000</v>
      </c>
      <c r="AI180">
        <v>0</v>
      </c>
      <c r="AJ180">
        <v>150000</v>
      </c>
      <c r="AK180">
        <v>10000</v>
      </c>
      <c r="AL180">
        <v>10000</v>
      </c>
      <c r="AM180" s="42">
        <v>46113</v>
      </c>
      <c r="AN180" s="42">
        <v>46447</v>
      </c>
      <c r="AO180">
        <v>0</v>
      </c>
      <c r="AP180">
        <v>0</v>
      </c>
      <c r="AQ180">
        <v>0</v>
      </c>
      <c r="AR180" s="8">
        <f t="shared" si="4"/>
        <v>2391.0700000000002</v>
      </c>
      <c r="AS180" s="38">
        <f t="shared" si="5"/>
        <v>1797.2716762</v>
      </c>
      <c r="AT180" s="39" t="s">
        <v>868</v>
      </c>
      <c r="AU180" s="40">
        <f>VLOOKUP(N180,'Apólice Endosso'!D:XFD,23,0)</f>
        <v>0</v>
      </c>
      <c r="AV180" s="39" t="str">
        <f>VLOOKUP(N180,'Apólice Endosso'!D:XFD,28,0)</f>
        <v>Padrão (100%) sem blindagem - 150k - Contrato 2025</v>
      </c>
      <c r="AW180" s="41" t="str">
        <f>IF(VLOOKUP(N180,'Apólice Endosso'!D:XFD,47,0)=0,"",VLOOKUP(N180,'Apólice Endosso'!D:XFD,47,0))</f>
        <v/>
      </c>
      <c r="AX180" s="40">
        <f>VLOOKUP(N180,'Apólice Endosso'!D:XFD,30,0)</f>
        <v>5050.3500000000004</v>
      </c>
      <c r="AY180" s="36">
        <v>1809.0308599999998</v>
      </c>
      <c r="AZ180" s="16">
        <v>5050.3500000000004</v>
      </c>
      <c r="BA180" s="16"/>
    </row>
    <row r="181" spans="1:53" x14ac:dyDescent="0.3">
      <c r="A181" t="s">
        <v>85</v>
      </c>
      <c r="B181" s="9">
        <v>46139</v>
      </c>
      <c r="C181">
        <v>0</v>
      </c>
      <c r="D181" t="s">
        <v>84</v>
      </c>
      <c r="E181">
        <v>2103</v>
      </c>
      <c r="F181">
        <v>2103</v>
      </c>
      <c r="G181"/>
      <c r="H181"/>
      <c r="J181" t="s">
        <v>600</v>
      </c>
      <c r="K181" t="s">
        <v>601</v>
      </c>
      <c r="L181" t="s">
        <v>602</v>
      </c>
      <c r="M181" t="s">
        <v>86</v>
      </c>
      <c r="N181" t="s">
        <v>603</v>
      </c>
      <c r="O181" t="s">
        <v>87</v>
      </c>
      <c r="P181" t="s">
        <v>123</v>
      </c>
      <c r="Q181" t="s">
        <v>189</v>
      </c>
      <c r="R181">
        <v>2025</v>
      </c>
      <c r="S181">
        <v>2025</v>
      </c>
      <c r="T181" t="s">
        <v>125</v>
      </c>
      <c r="U181">
        <v>85</v>
      </c>
      <c r="V181">
        <v>0</v>
      </c>
      <c r="W181">
        <v>231.54</v>
      </c>
      <c r="X181">
        <v>1455.51</v>
      </c>
      <c r="Y181">
        <v>0</v>
      </c>
      <c r="Z181">
        <v>99.23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620000</v>
      </c>
      <c r="AH181">
        <v>300000</v>
      </c>
      <c r="AI181">
        <v>0</v>
      </c>
      <c r="AJ181">
        <v>300000</v>
      </c>
      <c r="AK181">
        <v>10000</v>
      </c>
      <c r="AL181">
        <v>10000</v>
      </c>
      <c r="AM181" s="42">
        <v>46113</v>
      </c>
      <c r="AN181" s="42">
        <v>46447</v>
      </c>
      <c r="AO181">
        <v>0</v>
      </c>
      <c r="AP181">
        <v>0</v>
      </c>
      <c r="AQ181">
        <v>0</v>
      </c>
      <c r="AR181" s="8">
        <f t="shared" si="4"/>
        <v>3638.47</v>
      </c>
      <c r="AS181" s="38">
        <f t="shared" si="5"/>
        <v>2734.8923601999995</v>
      </c>
      <c r="AT181" s="39" t="s">
        <v>870</v>
      </c>
      <c r="AU181" s="40">
        <f>VLOOKUP(N181,'Apólice Endosso'!D:XFD,23,0)</f>
        <v>0</v>
      </c>
      <c r="AV181" s="39" t="str">
        <f>VLOOKUP(N181,'Apólice Endosso'!D:XFD,28,0)</f>
        <v>Padrão (100%) sem blindagem - 300k - Contrato 2025</v>
      </c>
      <c r="AW181" s="41" t="str">
        <f>IF(VLOOKUP(N181,'Apólice Endosso'!D:XFD,47,0)=0,"",VLOOKUP(N181,'Apólice Endosso'!D:XFD,47,0))</f>
        <v/>
      </c>
      <c r="AX181" s="40">
        <f>VLOOKUP(N181,'Apólice Endosso'!D:XFD,30,0)</f>
        <v>17466.150000000001</v>
      </c>
      <c r="AY181" s="36">
        <v>2666.9755839999998</v>
      </c>
      <c r="AZ181" s="16">
        <v>17466.150000000001</v>
      </c>
      <c r="BA181" s="16"/>
    </row>
    <row r="182" spans="1:53" x14ac:dyDescent="0.3">
      <c r="A182" t="s">
        <v>85</v>
      </c>
      <c r="B182" s="9">
        <v>46139</v>
      </c>
      <c r="C182">
        <v>0</v>
      </c>
      <c r="D182" t="s">
        <v>84</v>
      </c>
      <c r="E182">
        <v>2103</v>
      </c>
      <c r="F182">
        <v>2103</v>
      </c>
      <c r="G182"/>
      <c r="H182"/>
      <c r="J182" t="s">
        <v>416</v>
      </c>
      <c r="K182" t="s">
        <v>417</v>
      </c>
      <c r="L182" t="s">
        <v>604</v>
      </c>
      <c r="M182" t="s">
        <v>86</v>
      </c>
      <c r="N182" t="s">
        <v>605</v>
      </c>
      <c r="O182" t="s">
        <v>87</v>
      </c>
      <c r="P182" t="s">
        <v>89</v>
      </c>
      <c r="Q182" t="s">
        <v>90</v>
      </c>
      <c r="R182">
        <v>2026</v>
      </c>
      <c r="S182">
        <v>2026</v>
      </c>
      <c r="T182" t="s">
        <v>88</v>
      </c>
      <c r="U182">
        <v>85</v>
      </c>
      <c r="V182">
        <v>84669</v>
      </c>
      <c r="W182">
        <v>152.16</v>
      </c>
      <c r="X182">
        <v>420.86</v>
      </c>
      <c r="Y182">
        <v>0</v>
      </c>
      <c r="Z182">
        <v>65.209999999999994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12700.35</v>
      </c>
      <c r="AG182">
        <v>320000</v>
      </c>
      <c r="AH182">
        <v>150000</v>
      </c>
      <c r="AI182">
        <v>0</v>
      </c>
      <c r="AJ182">
        <v>150000</v>
      </c>
      <c r="AK182">
        <v>10000</v>
      </c>
      <c r="AL182">
        <v>10000</v>
      </c>
      <c r="AM182" s="42">
        <v>46113</v>
      </c>
      <c r="AN182" s="42">
        <v>46447</v>
      </c>
      <c r="AO182">
        <v>0</v>
      </c>
      <c r="AP182">
        <v>0</v>
      </c>
      <c r="AQ182">
        <v>0</v>
      </c>
      <c r="AR182" s="8">
        <f t="shared" si="4"/>
        <v>2391.0700000000002</v>
      </c>
      <c r="AS182" s="38">
        <f t="shared" si="5"/>
        <v>1797.2716762</v>
      </c>
      <c r="AT182" s="39" t="s">
        <v>864</v>
      </c>
      <c r="AU182" s="40">
        <f>VLOOKUP(N182,'Apólice Endosso'!D:XFD,23,0)</f>
        <v>0</v>
      </c>
      <c r="AV182" s="39" t="str">
        <f>VLOOKUP(N182,'Apólice Endosso'!D:XFD,28,0)</f>
        <v>Padrão (100%) sem blindagem - 150k - Contrato 2025</v>
      </c>
      <c r="AW182" s="41" t="str">
        <f>IF(VLOOKUP(N182,'Apólice Endosso'!D:XFD,47,0)=0,"",VLOOKUP(N182,'Apólice Endosso'!D:XFD,47,0))</f>
        <v/>
      </c>
      <c r="AX182" s="40">
        <f>VLOOKUP(N182,'Apólice Endosso'!D:XFD,30,0)</f>
        <v>5050.3500000000004</v>
      </c>
      <c r="AY182" s="36">
        <v>1809.0308599999998</v>
      </c>
      <c r="AZ182" s="16">
        <v>5050.3500000000004</v>
      </c>
      <c r="BA182" s="16"/>
    </row>
    <row r="183" spans="1:53" x14ac:dyDescent="0.3">
      <c r="A183" t="s">
        <v>85</v>
      </c>
      <c r="B183" s="9">
        <v>46139</v>
      </c>
      <c r="C183">
        <v>0</v>
      </c>
      <c r="D183" t="s">
        <v>84</v>
      </c>
      <c r="E183">
        <v>2103</v>
      </c>
      <c r="F183">
        <v>2103</v>
      </c>
      <c r="G183"/>
      <c r="H183"/>
      <c r="J183" t="s">
        <v>606</v>
      </c>
      <c r="K183" t="s">
        <v>607</v>
      </c>
      <c r="L183" t="s">
        <v>608</v>
      </c>
      <c r="M183" t="s">
        <v>86</v>
      </c>
      <c r="N183" t="s">
        <v>609</v>
      </c>
      <c r="O183" t="s">
        <v>87</v>
      </c>
      <c r="P183" t="s">
        <v>134</v>
      </c>
      <c r="Q183" t="s">
        <v>161</v>
      </c>
      <c r="R183">
        <v>2026</v>
      </c>
      <c r="S183">
        <v>2026</v>
      </c>
      <c r="T183" t="s">
        <v>135</v>
      </c>
      <c r="U183">
        <v>85</v>
      </c>
      <c r="V183">
        <v>133163</v>
      </c>
      <c r="W183">
        <v>188.2</v>
      </c>
      <c r="X183">
        <v>651.29999999999995</v>
      </c>
      <c r="Y183">
        <v>0</v>
      </c>
      <c r="Z183">
        <v>80.66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19974.45</v>
      </c>
      <c r="AG183">
        <v>620000</v>
      </c>
      <c r="AH183">
        <v>300000</v>
      </c>
      <c r="AI183">
        <v>0</v>
      </c>
      <c r="AJ183">
        <v>300000</v>
      </c>
      <c r="AK183">
        <v>10000</v>
      </c>
      <c r="AL183">
        <v>10000</v>
      </c>
      <c r="AM183" s="42">
        <v>46113</v>
      </c>
      <c r="AN183" s="42">
        <v>46447</v>
      </c>
      <c r="AO183">
        <v>0</v>
      </c>
      <c r="AP183">
        <v>0</v>
      </c>
      <c r="AQ183">
        <v>0</v>
      </c>
      <c r="AR183" s="8">
        <f t="shared" si="4"/>
        <v>2957.46</v>
      </c>
      <c r="AS183" s="38">
        <f t="shared" si="5"/>
        <v>2223.0043835999995</v>
      </c>
      <c r="AT183" s="39" t="s">
        <v>871</v>
      </c>
      <c r="AU183" s="40">
        <f>VLOOKUP(N183,'Apólice Endosso'!D:XFD,23,0)</f>
        <v>0</v>
      </c>
      <c r="AV183" s="39" t="str">
        <f>VLOOKUP(N183,'Apólice Endosso'!D:XFD,28,0)</f>
        <v>Padrão (100%) sem blindagem - 300k - Contrato 2025</v>
      </c>
      <c r="AW183" s="41" t="str">
        <f>IF(VLOOKUP(N183,'Apólice Endosso'!D:XFD,47,0)=0,"",VLOOKUP(N183,'Apólice Endosso'!D:XFD,47,0))</f>
        <v/>
      </c>
      <c r="AX183" s="40">
        <f>VLOOKUP(N183,'Apólice Endosso'!D:XFD,30,0)</f>
        <v>7815.65</v>
      </c>
      <c r="AY183" s="36">
        <v>2198.5947620000002</v>
      </c>
      <c r="AZ183" s="16">
        <v>7815.65</v>
      </c>
      <c r="BA183" s="16"/>
    </row>
    <row r="184" spans="1:53" x14ac:dyDescent="0.3">
      <c r="A184" t="s">
        <v>85</v>
      </c>
      <c r="B184" s="9">
        <v>46139</v>
      </c>
      <c r="C184">
        <v>0</v>
      </c>
      <c r="D184" t="s">
        <v>84</v>
      </c>
      <c r="E184">
        <v>2103</v>
      </c>
      <c r="F184">
        <v>2103</v>
      </c>
      <c r="G184"/>
      <c r="H184"/>
      <c r="J184" t="s">
        <v>610</v>
      </c>
      <c r="K184" t="s">
        <v>611</v>
      </c>
      <c r="L184" t="s">
        <v>612</v>
      </c>
      <c r="M184" t="s">
        <v>86</v>
      </c>
      <c r="N184" t="s">
        <v>613</v>
      </c>
      <c r="O184" t="s">
        <v>87</v>
      </c>
      <c r="P184" t="s">
        <v>89</v>
      </c>
      <c r="Q184" t="s">
        <v>90</v>
      </c>
      <c r="R184">
        <v>2026</v>
      </c>
      <c r="S184">
        <v>2026</v>
      </c>
      <c r="T184" t="s">
        <v>88</v>
      </c>
      <c r="U184">
        <v>85</v>
      </c>
      <c r="V184">
        <v>84669</v>
      </c>
      <c r="W184">
        <v>152.16</v>
      </c>
      <c r="X184">
        <v>420.86</v>
      </c>
      <c r="Y184">
        <v>0</v>
      </c>
      <c r="Z184">
        <v>65.209999999999994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12700.35</v>
      </c>
      <c r="AG184">
        <v>320000</v>
      </c>
      <c r="AH184">
        <v>150000</v>
      </c>
      <c r="AI184">
        <v>0</v>
      </c>
      <c r="AJ184">
        <v>150000</v>
      </c>
      <c r="AK184">
        <v>10000</v>
      </c>
      <c r="AL184">
        <v>10000</v>
      </c>
      <c r="AM184" s="42">
        <v>46113</v>
      </c>
      <c r="AN184" s="42">
        <v>46447</v>
      </c>
      <c r="AO184">
        <v>0</v>
      </c>
      <c r="AP184">
        <v>0</v>
      </c>
      <c r="AQ184">
        <v>0</v>
      </c>
      <c r="AR184" s="8">
        <f t="shared" si="4"/>
        <v>2391.0700000000002</v>
      </c>
      <c r="AS184" s="38">
        <f t="shared" si="5"/>
        <v>1797.2716762</v>
      </c>
      <c r="AT184" s="39" t="s">
        <v>872</v>
      </c>
      <c r="AU184" s="40">
        <f>VLOOKUP(N184,'Apólice Endosso'!D:XFD,23,0)</f>
        <v>0</v>
      </c>
      <c r="AV184" s="39" t="str">
        <f>VLOOKUP(N184,'Apólice Endosso'!D:XFD,28,0)</f>
        <v>Padrão (100%) sem blindagem - 150k - Contrato 2025</v>
      </c>
      <c r="AW184" s="41" t="str">
        <f>IF(VLOOKUP(N184,'Apólice Endosso'!D:XFD,47,0)=0,"",VLOOKUP(N184,'Apólice Endosso'!D:XFD,47,0))</f>
        <v/>
      </c>
      <c r="AX184" s="40">
        <f>VLOOKUP(N184,'Apólice Endosso'!D:XFD,30,0)</f>
        <v>5050.3500000000004</v>
      </c>
      <c r="AY184" s="36">
        <v>1809.0308599999998</v>
      </c>
      <c r="AZ184" s="16">
        <v>5050.3500000000004</v>
      </c>
      <c r="BA184" s="16"/>
    </row>
    <row r="185" spans="1:53" x14ac:dyDescent="0.3">
      <c r="A185" t="s">
        <v>85</v>
      </c>
      <c r="B185" s="9">
        <v>46139</v>
      </c>
      <c r="C185">
        <v>0</v>
      </c>
      <c r="D185" t="s">
        <v>84</v>
      </c>
      <c r="E185">
        <v>2103</v>
      </c>
      <c r="F185">
        <v>2103</v>
      </c>
      <c r="G185"/>
      <c r="H185"/>
      <c r="J185" t="s">
        <v>610</v>
      </c>
      <c r="K185" t="s">
        <v>611</v>
      </c>
      <c r="L185" t="s">
        <v>614</v>
      </c>
      <c r="M185" t="s">
        <v>86</v>
      </c>
      <c r="N185" t="s">
        <v>615</v>
      </c>
      <c r="O185" t="s">
        <v>87</v>
      </c>
      <c r="P185" t="s">
        <v>89</v>
      </c>
      <c r="Q185" t="s">
        <v>90</v>
      </c>
      <c r="R185">
        <v>2026</v>
      </c>
      <c r="S185">
        <v>2026</v>
      </c>
      <c r="T185" t="s">
        <v>88</v>
      </c>
      <c r="U185">
        <v>85</v>
      </c>
      <c r="V185">
        <v>84669</v>
      </c>
      <c r="W185">
        <v>152.16</v>
      </c>
      <c r="X185">
        <v>420.86</v>
      </c>
      <c r="Y185">
        <v>0</v>
      </c>
      <c r="Z185">
        <v>65.209999999999994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12700.35</v>
      </c>
      <c r="AG185">
        <v>320000</v>
      </c>
      <c r="AH185">
        <v>150000</v>
      </c>
      <c r="AI185">
        <v>0</v>
      </c>
      <c r="AJ185">
        <v>150000</v>
      </c>
      <c r="AK185">
        <v>10000</v>
      </c>
      <c r="AL185">
        <v>10000</v>
      </c>
      <c r="AM185" s="42">
        <v>46113</v>
      </c>
      <c r="AN185" s="42">
        <v>46447</v>
      </c>
      <c r="AO185">
        <v>0</v>
      </c>
      <c r="AP185">
        <v>0</v>
      </c>
      <c r="AQ185">
        <v>0</v>
      </c>
      <c r="AR185" s="8">
        <f t="shared" si="4"/>
        <v>2391.0700000000002</v>
      </c>
      <c r="AS185" s="38">
        <f t="shared" si="5"/>
        <v>1797.2716762</v>
      </c>
      <c r="AT185" s="39" t="s">
        <v>872</v>
      </c>
      <c r="AU185" s="40">
        <f>VLOOKUP(N185,'Apólice Endosso'!D:XFD,23,0)</f>
        <v>0</v>
      </c>
      <c r="AV185" s="39" t="str">
        <f>VLOOKUP(N185,'Apólice Endosso'!D:XFD,28,0)</f>
        <v>Padrão (100%) sem blindagem - 150k - Contrato 2025</v>
      </c>
      <c r="AW185" s="41" t="str">
        <f>IF(VLOOKUP(N185,'Apólice Endosso'!D:XFD,47,0)=0,"",VLOOKUP(N185,'Apólice Endosso'!D:XFD,47,0))</f>
        <v/>
      </c>
      <c r="AX185" s="40">
        <f>VLOOKUP(N185,'Apólice Endosso'!D:XFD,30,0)</f>
        <v>5050.3500000000004</v>
      </c>
      <c r="AY185" s="36">
        <v>1809.0308599999998</v>
      </c>
      <c r="AZ185" s="16">
        <v>5050.3500000000004</v>
      </c>
      <c r="BA185" s="16"/>
    </row>
    <row r="186" spans="1:53" x14ac:dyDescent="0.3">
      <c r="A186" t="s">
        <v>85</v>
      </c>
      <c r="B186" s="9">
        <v>46139</v>
      </c>
      <c r="C186">
        <v>0</v>
      </c>
      <c r="D186" t="s">
        <v>84</v>
      </c>
      <c r="E186">
        <v>2103</v>
      </c>
      <c r="F186">
        <v>2103</v>
      </c>
      <c r="G186"/>
      <c r="H186"/>
      <c r="J186" t="s">
        <v>610</v>
      </c>
      <c r="K186" t="s">
        <v>611</v>
      </c>
      <c r="L186" t="s">
        <v>616</v>
      </c>
      <c r="M186" t="s">
        <v>86</v>
      </c>
      <c r="N186" t="s">
        <v>617</v>
      </c>
      <c r="O186" t="s">
        <v>87</v>
      </c>
      <c r="P186" t="s">
        <v>89</v>
      </c>
      <c r="Q186" t="s">
        <v>90</v>
      </c>
      <c r="R186">
        <v>2026</v>
      </c>
      <c r="S186">
        <v>2026</v>
      </c>
      <c r="T186" t="s">
        <v>88</v>
      </c>
      <c r="U186">
        <v>85</v>
      </c>
      <c r="V186">
        <v>84669</v>
      </c>
      <c r="W186">
        <v>152.16</v>
      </c>
      <c r="X186">
        <v>420.86</v>
      </c>
      <c r="Y186">
        <v>0</v>
      </c>
      <c r="Z186">
        <v>65.209999999999994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12700.35</v>
      </c>
      <c r="AG186">
        <v>320000</v>
      </c>
      <c r="AH186">
        <v>150000</v>
      </c>
      <c r="AI186">
        <v>0</v>
      </c>
      <c r="AJ186">
        <v>150000</v>
      </c>
      <c r="AK186">
        <v>10000</v>
      </c>
      <c r="AL186">
        <v>10000</v>
      </c>
      <c r="AM186" s="42">
        <v>46113</v>
      </c>
      <c r="AN186" s="42">
        <v>46447</v>
      </c>
      <c r="AO186">
        <v>0</v>
      </c>
      <c r="AP186">
        <v>0</v>
      </c>
      <c r="AQ186">
        <v>0</v>
      </c>
      <c r="AR186" s="8">
        <f t="shared" si="4"/>
        <v>2391.0700000000002</v>
      </c>
      <c r="AS186" s="38">
        <f t="shared" si="5"/>
        <v>1797.2716762</v>
      </c>
      <c r="AT186" s="39" t="s">
        <v>872</v>
      </c>
      <c r="AU186" s="40">
        <f>VLOOKUP(N186,'Apólice Endosso'!D:XFD,23,0)</f>
        <v>0</v>
      </c>
      <c r="AV186" s="39" t="str">
        <f>VLOOKUP(N186,'Apólice Endosso'!D:XFD,28,0)</f>
        <v>Padrão (100%) sem blindagem - 150k - Contrato 2025</v>
      </c>
      <c r="AW186" s="41" t="str">
        <f>IF(VLOOKUP(N186,'Apólice Endosso'!D:XFD,47,0)=0,"",VLOOKUP(N186,'Apólice Endosso'!D:XFD,47,0))</f>
        <v/>
      </c>
      <c r="AX186" s="40">
        <f>VLOOKUP(N186,'Apólice Endosso'!D:XFD,30,0)</f>
        <v>5050.3500000000004</v>
      </c>
      <c r="AY186" s="36">
        <v>1809.0308599999998</v>
      </c>
      <c r="AZ186" s="16">
        <v>5050.3500000000004</v>
      </c>
      <c r="BA186" s="16"/>
    </row>
    <row r="187" spans="1:53" x14ac:dyDescent="0.3">
      <c r="A187" t="s">
        <v>85</v>
      </c>
      <c r="B187" s="9">
        <v>46139</v>
      </c>
      <c r="C187">
        <v>0</v>
      </c>
      <c r="D187" t="s">
        <v>84</v>
      </c>
      <c r="E187">
        <v>2103</v>
      </c>
      <c r="F187">
        <v>2103</v>
      </c>
      <c r="G187"/>
      <c r="H187"/>
      <c r="J187" t="s">
        <v>610</v>
      </c>
      <c r="K187" t="s">
        <v>611</v>
      </c>
      <c r="L187" t="s">
        <v>618</v>
      </c>
      <c r="M187" t="s">
        <v>86</v>
      </c>
      <c r="N187" t="s">
        <v>619</v>
      </c>
      <c r="O187" t="s">
        <v>87</v>
      </c>
      <c r="P187" t="s">
        <v>89</v>
      </c>
      <c r="Q187" t="s">
        <v>90</v>
      </c>
      <c r="R187">
        <v>2026</v>
      </c>
      <c r="S187">
        <v>2026</v>
      </c>
      <c r="T187" t="s">
        <v>88</v>
      </c>
      <c r="U187">
        <v>85</v>
      </c>
      <c r="V187">
        <v>84669</v>
      </c>
      <c r="W187">
        <v>152.16</v>
      </c>
      <c r="X187">
        <v>420.86</v>
      </c>
      <c r="Y187">
        <v>0</v>
      </c>
      <c r="Z187">
        <v>65.209999999999994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12700.35</v>
      </c>
      <c r="AG187">
        <v>320000</v>
      </c>
      <c r="AH187">
        <v>150000</v>
      </c>
      <c r="AI187">
        <v>0</v>
      </c>
      <c r="AJ187">
        <v>150000</v>
      </c>
      <c r="AK187">
        <v>10000</v>
      </c>
      <c r="AL187">
        <v>10000</v>
      </c>
      <c r="AM187" s="42">
        <v>46113</v>
      </c>
      <c r="AN187" s="42">
        <v>46447</v>
      </c>
      <c r="AO187">
        <v>0</v>
      </c>
      <c r="AP187">
        <v>0</v>
      </c>
      <c r="AQ187">
        <v>0</v>
      </c>
      <c r="AR187" s="8">
        <f t="shared" si="4"/>
        <v>2391.0700000000002</v>
      </c>
      <c r="AS187" s="38">
        <f t="shared" si="5"/>
        <v>1797.2716762</v>
      </c>
      <c r="AT187" s="39" t="s">
        <v>872</v>
      </c>
      <c r="AU187" s="40">
        <f>VLOOKUP(N187,'Apólice Endosso'!D:XFD,23,0)</f>
        <v>0</v>
      </c>
      <c r="AV187" s="39" t="str">
        <f>VLOOKUP(N187,'Apólice Endosso'!D:XFD,28,0)</f>
        <v>Padrão (100%) sem blindagem - 150k - Contrato 2025</v>
      </c>
      <c r="AW187" s="41" t="str">
        <f>IF(VLOOKUP(N187,'Apólice Endosso'!D:XFD,47,0)=0,"",VLOOKUP(N187,'Apólice Endosso'!D:XFD,47,0))</f>
        <v/>
      </c>
      <c r="AX187" s="40">
        <f>VLOOKUP(N187,'Apólice Endosso'!D:XFD,30,0)</f>
        <v>5050.3500000000004</v>
      </c>
      <c r="AY187" s="36">
        <v>1809.0308599999998</v>
      </c>
      <c r="AZ187" s="16">
        <v>5050.3500000000004</v>
      </c>
      <c r="BA187" s="16"/>
    </row>
    <row r="188" spans="1:53" x14ac:dyDescent="0.3">
      <c r="A188" t="s">
        <v>85</v>
      </c>
      <c r="B188" s="9">
        <v>46139</v>
      </c>
      <c r="C188">
        <v>0</v>
      </c>
      <c r="D188" t="s">
        <v>84</v>
      </c>
      <c r="E188">
        <v>2103</v>
      </c>
      <c r="F188">
        <v>2103</v>
      </c>
      <c r="G188"/>
      <c r="H188"/>
      <c r="J188" t="s">
        <v>610</v>
      </c>
      <c r="K188" t="s">
        <v>611</v>
      </c>
      <c r="L188" t="s">
        <v>620</v>
      </c>
      <c r="M188" t="s">
        <v>86</v>
      </c>
      <c r="N188" t="s">
        <v>621</v>
      </c>
      <c r="O188" t="s">
        <v>87</v>
      </c>
      <c r="P188" t="s">
        <v>89</v>
      </c>
      <c r="Q188" t="s">
        <v>90</v>
      </c>
      <c r="R188">
        <v>2026</v>
      </c>
      <c r="S188">
        <v>2026</v>
      </c>
      <c r="T188" t="s">
        <v>88</v>
      </c>
      <c r="U188">
        <v>85</v>
      </c>
      <c r="V188">
        <v>84669</v>
      </c>
      <c r="W188">
        <v>152.16</v>
      </c>
      <c r="X188">
        <v>420.86</v>
      </c>
      <c r="Y188">
        <v>0</v>
      </c>
      <c r="Z188">
        <v>65.209999999999994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12700.35</v>
      </c>
      <c r="AG188">
        <v>320000</v>
      </c>
      <c r="AH188">
        <v>150000</v>
      </c>
      <c r="AI188">
        <v>0</v>
      </c>
      <c r="AJ188">
        <v>150000</v>
      </c>
      <c r="AK188">
        <v>10000</v>
      </c>
      <c r="AL188">
        <v>10000</v>
      </c>
      <c r="AM188" s="42">
        <v>46113</v>
      </c>
      <c r="AN188" s="42">
        <v>46447</v>
      </c>
      <c r="AO188">
        <v>0</v>
      </c>
      <c r="AP188">
        <v>0</v>
      </c>
      <c r="AQ188">
        <v>0</v>
      </c>
      <c r="AR188" s="8">
        <f t="shared" si="4"/>
        <v>2391.0700000000002</v>
      </c>
      <c r="AS188" s="38">
        <f t="shared" si="5"/>
        <v>1797.2716762</v>
      </c>
      <c r="AT188" s="39" t="s">
        <v>872</v>
      </c>
      <c r="AU188" s="40">
        <f>VLOOKUP(N188,'Apólice Endosso'!D:XFD,23,0)</f>
        <v>0</v>
      </c>
      <c r="AV188" s="39" t="str">
        <f>VLOOKUP(N188,'Apólice Endosso'!D:XFD,28,0)</f>
        <v>Padrão (100%) sem blindagem - 150k - Contrato 2025</v>
      </c>
      <c r="AW188" s="41" t="str">
        <f>IF(VLOOKUP(N188,'Apólice Endosso'!D:XFD,47,0)=0,"",VLOOKUP(N188,'Apólice Endosso'!D:XFD,47,0))</f>
        <v/>
      </c>
      <c r="AX188" s="40">
        <f>VLOOKUP(N188,'Apólice Endosso'!D:XFD,30,0)</f>
        <v>5050.3500000000004</v>
      </c>
      <c r="AY188" s="36">
        <v>1809.0308599999998</v>
      </c>
      <c r="AZ188" s="16">
        <v>5050.3500000000004</v>
      </c>
      <c r="BA188" s="16"/>
    </row>
    <row r="189" spans="1:53" x14ac:dyDescent="0.3">
      <c r="A189" t="s">
        <v>85</v>
      </c>
      <c r="B189" s="9">
        <v>46139</v>
      </c>
      <c r="C189">
        <v>0</v>
      </c>
      <c r="D189" t="s">
        <v>84</v>
      </c>
      <c r="E189">
        <v>2103</v>
      </c>
      <c r="F189">
        <v>2103</v>
      </c>
      <c r="G189"/>
      <c r="H189"/>
      <c r="J189" t="s">
        <v>610</v>
      </c>
      <c r="K189" t="s">
        <v>611</v>
      </c>
      <c r="L189" t="s">
        <v>622</v>
      </c>
      <c r="M189" t="s">
        <v>86</v>
      </c>
      <c r="N189" t="s">
        <v>623</v>
      </c>
      <c r="O189" t="s">
        <v>87</v>
      </c>
      <c r="P189" t="s">
        <v>89</v>
      </c>
      <c r="Q189" t="s">
        <v>90</v>
      </c>
      <c r="R189">
        <v>2026</v>
      </c>
      <c r="S189">
        <v>2026</v>
      </c>
      <c r="T189" t="s">
        <v>88</v>
      </c>
      <c r="U189">
        <v>85</v>
      </c>
      <c r="V189">
        <v>84669</v>
      </c>
      <c r="W189">
        <v>152.16</v>
      </c>
      <c r="X189">
        <v>420.86</v>
      </c>
      <c r="Y189">
        <v>0</v>
      </c>
      <c r="Z189">
        <v>65.209999999999994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12700.35</v>
      </c>
      <c r="AG189">
        <v>320000</v>
      </c>
      <c r="AH189">
        <v>150000</v>
      </c>
      <c r="AI189">
        <v>0</v>
      </c>
      <c r="AJ189">
        <v>150000</v>
      </c>
      <c r="AK189">
        <v>10000</v>
      </c>
      <c r="AL189">
        <v>10000</v>
      </c>
      <c r="AM189" s="42">
        <v>46113</v>
      </c>
      <c r="AN189" s="42">
        <v>46447</v>
      </c>
      <c r="AO189">
        <v>0</v>
      </c>
      <c r="AP189">
        <v>0</v>
      </c>
      <c r="AQ189">
        <v>0</v>
      </c>
      <c r="AR189" s="8">
        <f t="shared" si="4"/>
        <v>2391.0700000000002</v>
      </c>
      <c r="AS189" s="38">
        <f t="shared" si="5"/>
        <v>1797.2716762</v>
      </c>
      <c r="AT189" s="39" t="s">
        <v>872</v>
      </c>
      <c r="AU189" s="40">
        <f>VLOOKUP(N189,'Apólice Endosso'!D:XFD,23,0)</f>
        <v>0</v>
      </c>
      <c r="AV189" s="39" t="str">
        <f>VLOOKUP(N189,'Apólice Endosso'!D:XFD,28,0)</f>
        <v>Padrão (100%) sem blindagem - 150k - Contrato 2025</v>
      </c>
      <c r="AW189" s="41" t="str">
        <f>IF(VLOOKUP(N189,'Apólice Endosso'!D:XFD,47,0)=0,"",VLOOKUP(N189,'Apólice Endosso'!D:XFD,47,0))</f>
        <v/>
      </c>
      <c r="AX189" s="40">
        <f>VLOOKUP(N189,'Apólice Endosso'!D:XFD,30,0)</f>
        <v>5050.3500000000004</v>
      </c>
      <c r="AY189" s="36">
        <v>1809.0308599999998</v>
      </c>
      <c r="AZ189" s="16">
        <v>5050.3500000000004</v>
      </c>
      <c r="BA189" s="16"/>
    </row>
    <row r="190" spans="1:53" x14ac:dyDescent="0.3">
      <c r="A190" t="s">
        <v>85</v>
      </c>
      <c r="B190" s="9">
        <v>46139</v>
      </c>
      <c r="C190">
        <v>0</v>
      </c>
      <c r="D190" t="s">
        <v>84</v>
      </c>
      <c r="E190">
        <v>2103</v>
      </c>
      <c r="F190">
        <v>2103</v>
      </c>
      <c r="G190"/>
      <c r="H190"/>
      <c r="J190" t="s">
        <v>610</v>
      </c>
      <c r="K190" t="s">
        <v>611</v>
      </c>
      <c r="L190" t="s">
        <v>624</v>
      </c>
      <c r="M190" t="s">
        <v>86</v>
      </c>
      <c r="N190" t="s">
        <v>625</v>
      </c>
      <c r="O190" t="s">
        <v>87</v>
      </c>
      <c r="P190" t="s">
        <v>89</v>
      </c>
      <c r="Q190" t="s">
        <v>90</v>
      </c>
      <c r="R190">
        <v>2026</v>
      </c>
      <c r="S190">
        <v>2026</v>
      </c>
      <c r="T190" t="s">
        <v>88</v>
      </c>
      <c r="U190">
        <v>85</v>
      </c>
      <c r="V190">
        <v>84669</v>
      </c>
      <c r="W190">
        <v>152.16</v>
      </c>
      <c r="X190">
        <v>420.86</v>
      </c>
      <c r="Y190">
        <v>0</v>
      </c>
      <c r="Z190">
        <v>65.209999999999994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12700.35</v>
      </c>
      <c r="AG190">
        <v>320000</v>
      </c>
      <c r="AH190">
        <v>150000</v>
      </c>
      <c r="AI190">
        <v>0</v>
      </c>
      <c r="AJ190">
        <v>150000</v>
      </c>
      <c r="AK190">
        <v>10000</v>
      </c>
      <c r="AL190">
        <v>10000</v>
      </c>
      <c r="AM190" s="42">
        <v>46113</v>
      </c>
      <c r="AN190" s="42">
        <v>46447</v>
      </c>
      <c r="AO190">
        <v>0</v>
      </c>
      <c r="AP190">
        <v>0</v>
      </c>
      <c r="AQ190">
        <v>0</v>
      </c>
      <c r="AR190" s="8">
        <f t="shared" si="4"/>
        <v>2391.0700000000002</v>
      </c>
      <c r="AS190" s="38">
        <f t="shared" si="5"/>
        <v>1797.2716762</v>
      </c>
      <c r="AT190" s="39" t="s">
        <v>872</v>
      </c>
      <c r="AU190" s="40">
        <f>VLOOKUP(N190,'Apólice Endosso'!D:XFD,23,0)</f>
        <v>0</v>
      </c>
      <c r="AV190" s="39" t="str">
        <f>VLOOKUP(N190,'Apólice Endosso'!D:XFD,28,0)</f>
        <v>Padrão (100%) sem blindagem - 150k - Contrato 2025</v>
      </c>
      <c r="AW190" s="41" t="str">
        <f>IF(VLOOKUP(N190,'Apólice Endosso'!D:XFD,47,0)=0,"",VLOOKUP(N190,'Apólice Endosso'!D:XFD,47,0))</f>
        <v/>
      </c>
      <c r="AX190" s="40">
        <f>VLOOKUP(N190,'Apólice Endosso'!D:XFD,30,0)</f>
        <v>5050.3500000000004</v>
      </c>
      <c r="AY190" s="36">
        <v>1809.0308599999998</v>
      </c>
      <c r="AZ190" s="16">
        <v>5050.3500000000004</v>
      </c>
      <c r="BA190" s="16"/>
    </row>
    <row r="191" spans="1:53" x14ac:dyDescent="0.3">
      <c r="A191" t="s">
        <v>85</v>
      </c>
      <c r="B191" s="9">
        <v>46139</v>
      </c>
      <c r="C191">
        <v>0</v>
      </c>
      <c r="D191" t="s">
        <v>84</v>
      </c>
      <c r="E191">
        <v>2103</v>
      </c>
      <c r="F191">
        <v>2103</v>
      </c>
      <c r="G191"/>
      <c r="H191"/>
      <c r="J191" t="s">
        <v>610</v>
      </c>
      <c r="K191" t="s">
        <v>611</v>
      </c>
      <c r="L191" t="s">
        <v>626</v>
      </c>
      <c r="M191" t="s">
        <v>86</v>
      </c>
      <c r="N191" t="s">
        <v>627</v>
      </c>
      <c r="O191" t="s">
        <v>87</v>
      </c>
      <c r="P191" t="s">
        <v>89</v>
      </c>
      <c r="Q191" t="s">
        <v>90</v>
      </c>
      <c r="R191">
        <v>2026</v>
      </c>
      <c r="S191">
        <v>2026</v>
      </c>
      <c r="T191" t="s">
        <v>88</v>
      </c>
      <c r="U191">
        <v>85</v>
      </c>
      <c r="V191">
        <v>84669</v>
      </c>
      <c r="W191">
        <v>152.16</v>
      </c>
      <c r="X191">
        <v>420.86</v>
      </c>
      <c r="Y191">
        <v>0</v>
      </c>
      <c r="Z191">
        <v>65.209999999999994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12700.35</v>
      </c>
      <c r="AG191">
        <v>320000</v>
      </c>
      <c r="AH191">
        <v>150000</v>
      </c>
      <c r="AI191">
        <v>0</v>
      </c>
      <c r="AJ191">
        <v>150000</v>
      </c>
      <c r="AK191">
        <v>10000</v>
      </c>
      <c r="AL191">
        <v>10000</v>
      </c>
      <c r="AM191" s="42">
        <v>46113</v>
      </c>
      <c r="AN191" s="42">
        <v>46447</v>
      </c>
      <c r="AO191">
        <v>0</v>
      </c>
      <c r="AP191">
        <v>0</v>
      </c>
      <c r="AQ191">
        <v>0</v>
      </c>
      <c r="AR191" s="8">
        <f t="shared" si="4"/>
        <v>2391.0700000000002</v>
      </c>
      <c r="AS191" s="38">
        <f t="shared" si="5"/>
        <v>1797.2716762</v>
      </c>
      <c r="AT191" s="39" t="s">
        <v>872</v>
      </c>
      <c r="AU191" s="40">
        <f>VLOOKUP(N191,'Apólice Endosso'!D:XFD,23,0)</f>
        <v>0</v>
      </c>
      <c r="AV191" s="39" t="str">
        <f>VLOOKUP(N191,'Apólice Endosso'!D:XFD,28,0)</f>
        <v>Padrão (100%) sem blindagem - 150k - Contrato 2025</v>
      </c>
      <c r="AW191" s="41" t="str">
        <f>IF(VLOOKUP(N191,'Apólice Endosso'!D:XFD,47,0)=0,"",VLOOKUP(N191,'Apólice Endosso'!D:XFD,47,0))</f>
        <v/>
      </c>
      <c r="AX191" s="40">
        <f>VLOOKUP(N191,'Apólice Endosso'!D:XFD,30,0)</f>
        <v>5050.3500000000004</v>
      </c>
      <c r="AY191" s="36">
        <v>1809.0308599999998</v>
      </c>
      <c r="AZ191" s="16">
        <v>5050.3500000000004</v>
      </c>
      <c r="BA191" s="16"/>
    </row>
    <row r="192" spans="1:53" x14ac:dyDescent="0.3">
      <c r="A192" t="s">
        <v>85</v>
      </c>
      <c r="B192" s="9">
        <v>46139</v>
      </c>
      <c r="C192">
        <v>0</v>
      </c>
      <c r="D192" t="s">
        <v>84</v>
      </c>
      <c r="E192">
        <v>2103</v>
      </c>
      <c r="F192">
        <v>2103</v>
      </c>
      <c r="G192"/>
      <c r="H192"/>
      <c r="J192" t="s">
        <v>610</v>
      </c>
      <c r="K192" t="s">
        <v>611</v>
      </c>
      <c r="L192" t="s">
        <v>628</v>
      </c>
      <c r="M192" t="s">
        <v>86</v>
      </c>
      <c r="N192" t="s">
        <v>629</v>
      </c>
      <c r="O192" t="s">
        <v>87</v>
      </c>
      <c r="P192" t="s">
        <v>89</v>
      </c>
      <c r="Q192" t="s">
        <v>90</v>
      </c>
      <c r="R192">
        <v>2026</v>
      </c>
      <c r="S192">
        <v>2026</v>
      </c>
      <c r="T192" t="s">
        <v>88</v>
      </c>
      <c r="U192">
        <v>85</v>
      </c>
      <c r="V192">
        <v>84669</v>
      </c>
      <c r="W192">
        <v>152.16</v>
      </c>
      <c r="X192">
        <v>420.86</v>
      </c>
      <c r="Y192">
        <v>0</v>
      </c>
      <c r="Z192">
        <v>65.209999999999994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12700.35</v>
      </c>
      <c r="AG192">
        <v>320000</v>
      </c>
      <c r="AH192">
        <v>150000</v>
      </c>
      <c r="AI192">
        <v>0</v>
      </c>
      <c r="AJ192">
        <v>150000</v>
      </c>
      <c r="AK192">
        <v>10000</v>
      </c>
      <c r="AL192">
        <v>10000</v>
      </c>
      <c r="AM192" s="42">
        <v>46113</v>
      </c>
      <c r="AN192" s="42">
        <v>46447</v>
      </c>
      <c r="AO192">
        <v>0</v>
      </c>
      <c r="AP192">
        <v>0</v>
      </c>
      <c r="AQ192">
        <v>0</v>
      </c>
      <c r="AR192" s="8">
        <f t="shared" si="4"/>
        <v>2391.0700000000002</v>
      </c>
      <c r="AS192" s="38">
        <f t="shared" si="5"/>
        <v>1797.2716762</v>
      </c>
      <c r="AT192" s="39" t="s">
        <v>872</v>
      </c>
      <c r="AU192" s="40">
        <f>VLOOKUP(N192,'Apólice Endosso'!D:XFD,23,0)</f>
        <v>0</v>
      </c>
      <c r="AV192" s="39" t="str">
        <f>VLOOKUP(N192,'Apólice Endosso'!D:XFD,28,0)</f>
        <v>Padrão (100%) sem blindagem - 150k - Contrato 2025</v>
      </c>
      <c r="AW192" s="41" t="str">
        <f>IF(VLOOKUP(N192,'Apólice Endosso'!D:XFD,47,0)=0,"",VLOOKUP(N192,'Apólice Endosso'!D:XFD,47,0))</f>
        <v/>
      </c>
      <c r="AX192" s="40">
        <f>VLOOKUP(N192,'Apólice Endosso'!D:XFD,30,0)</f>
        <v>5050.3500000000004</v>
      </c>
      <c r="AY192" s="36">
        <v>1809.0308599999998</v>
      </c>
      <c r="AZ192" s="16">
        <v>5050.3500000000004</v>
      </c>
      <c r="BA192" s="16"/>
    </row>
    <row r="193" spans="1:53" x14ac:dyDescent="0.3">
      <c r="A193" t="s">
        <v>85</v>
      </c>
      <c r="B193" s="9">
        <v>46139</v>
      </c>
      <c r="C193">
        <v>0</v>
      </c>
      <c r="D193" t="s">
        <v>84</v>
      </c>
      <c r="E193">
        <v>2103</v>
      </c>
      <c r="F193">
        <v>2103</v>
      </c>
      <c r="G193"/>
      <c r="H193"/>
      <c r="J193" t="s">
        <v>610</v>
      </c>
      <c r="K193" t="s">
        <v>611</v>
      </c>
      <c r="L193" t="s">
        <v>630</v>
      </c>
      <c r="M193" t="s">
        <v>86</v>
      </c>
      <c r="N193" t="s">
        <v>631</v>
      </c>
      <c r="O193" t="s">
        <v>87</v>
      </c>
      <c r="P193" t="s">
        <v>89</v>
      </c>
      <c r="Q193" t="s">
        <v>90</v>
      </c>
      <c r="R193">
        <v>2026</v>
      </c>
      <c r="S193">
        <v>2026</v>
      </c>
      <c r="T193" t="s">
        <v>88</v>
      </c>
      <c r="U193">
        <v>85</v>
      </c>
      <c r="V193">
        <v>84669</v>
      </c>
      <c r="W193">
        <v>152.16</v>
      </c>
      <c r="X193">
        <v>420.86</v>
      </c>
      <c r="Y193">
        <v>0</v>
      </c>
      <c r="Z193">
        <v>65.209999999999994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12700.35</v>
      </c>
      <c r="AG193">
        <v>320000</v>
      </c>
      <c r="AH193">
        <v>150000</v>
      </c>
      <c r="AI193">
        <v>0</v>
      </c>
      <c r="AJ193">
        <v>150000</v>
      </c>
      <c r="AK193">
        <v>10000</v>
      </c>
      <c r="AL193">
        <v>10000</v>
      </c>
      <c r="AM193" s="42">
        <v>46113</v>
      </c>
      <c r="AN193" s="42">
        <v>46447</v>
      </c>
      <c r="AO193">
        <v>0</v>
      </c>
      <c r="AP193">
        <v>0</v>
      </c>
      <c r="AQ193">
        <v>0</v>
      </c>
      <c r="AR193" s="8">
        <f t="shared" si="4"/>
        <v>2391.0700000000002</v>
      </c>
      <c r="AS193" s="38">
        <f t="shared" si="5"/>
        <v>1797.2716762</v>
      </c>
      <c r="AT193" s="39" t="s">
        <v>872</v>
      </c>
      <c r="AU193" s="40">
        <f>VLOOKUP(N193,'Apólice Endosso'!D:XFD,23,0)</f>
        <v>0</v>
      </c>
      <c r="AV193" s="39" t="str">
        <f>VLOOKUP(N193,'Apólice Endosso'!D:XFD,28,0)</f>
        <v>Padrão (100%) sem blindagem - 150k - Contrato 2025</v>
      </c>
      <c r="AW193" s="41" t="str">
        <f>IF(VLOOKUP(N193,'Apólice Endosso'!D:XFD,47,0)=0,"",VLOOKUP(N193,'Apólice Endosso'!D:XFD,47,0))</f>
        <v/>
      </c>
      <c r="AX193" s="40">
        <f>VLOOKUP(N193,'Apólice Endosso'!D:XFD,30,0)</f>
        <v>5050.3500000000004</v>
      </c>
      <c r="AY193" s="36">
        <v>1809.0308599999998</v>
      </c>
      <c r="AZ193" s="16">
        <v>5050.3500000000004</v>
      </c>
      <c r="BA193" s="16"/>
    </row>
    <row r="194" spans="1:53" x14ac:dyDescent="0.3">
      <c r="A194" t="s">
        <v>85</v>
      </c>
      <c r="B194" s="9">
        <v>46139</v>
      </c>
      <c r="C194">
        <v>0</v>
      </c>
      <c r="D194" t="s">
        <v>84</v>
      </c>
      <c r="E194">
        <v>2103</v>
      </c>
      <c r="F194">
        <v>2103</v>
      </c>
      <c r="G194"/>
      <c r="H194"/>
      <c r="J194" t="s">
        <v>610</v>
      </c>
      <c r="K194" t="s">
        <v>611</v>
      </c>
      <c r="L194" t="s">
        <v>632</v>
      </c>
      <c r="M194" t="s">
        <v>86</v>
      </c>
      <c r="N194" t="s">
        <v>633</v>
      </c>
      <c r="O194" t="s">
        <v>87</v>
      </c>
      <c r="P194" t="s">
        <v>89</v>
      </c>
      <c r="Q194" t="s">
        <v>90</v>
      </c>
      <c r="R194">
        <v>2026</v>
      </c>
      <c r="S194">
        <v>2026</v>
      </c>
      <c r="T194" t="s">
        <v>88</v>
      </c>
      <c r="U194">
        <v>85</v>
      </c>
      <c r="V194">
        <v>84669</v>
      </c>
      <c r="W194">
        <v>152.16</v>
      </c>
      <c r="X194">
        <v>420.86</v>
      </c>
      <c r="Y194">
        <v>0</v>
      </c>
      <c r="Z194">
        <v>65.209999999999994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12700.35</v>
      </c>
      <c r="AG194">
        <v>320000</v>
      </c>
      <c r="AH194">
        <v>150000</v>
      </c>
      <c r="AI194">
        <v>0</v>
      </c>
      <c r="AJ194">
        <v>150000</v>
      </c>
      <c r="AK194">
        <v>10000</v>
      </c>
      <c r="AL194">
        <v>10000</v>
      </c>
      <c r="AM194" s="42">
        <v>46113</v>
      </c>
      <c r="AN194" s="42">
        <v>46447</v>
      </c>
      <c r="AO194">
        <v>0</v>
      </c>
      <c r="AP194">
        <v>0</v>
      </c>
      <c r="AQ194">
        <v>0</v>
      </c>
      <c r="AR194" s="8">
        <f t="shared" si="4"/>
        <v>2391.0700000000002</v>
      </c>
      <c r="AS194" s="38">
        <f t="shared" si="5"/>
        <v>1797.2716762</v>
      </c>
      <c r="AT194" s="39" t="s">
        <v>872</v>
      </c>
      <c r="AU194" s="40">
        <f>VLOOKUP(N194,'Apólice Endosso'!D:XFD,23,0)</f>
        <v>0</v>
      </c>
      <c r="AV194" s="39" t="str">
        <f>VLOOKUP(N194,'Apólice Endosso'!D:XFD,28,0)</f>
        <v>Padrão (100%) sem blindagem - 150k - Contrato 2025</v>
      </c>
      <c r="AW194" s="41" t="str">
        <f>IF(VLOOKUP(N194,'Apólice Endosso'!D:XFD,47,0)=0,"",VLOOKUP(N194,'Apólice Endosso'!D:XFD,47,0))</f>
        <v/>
      </c>
      <c r="AX194" s="40">
        <f>VLOOKUP(N194,'Apólice Endosso'!D:XFD,30,0)</f>
        <v>5050.3500000000004</v>
      </c>
      <c r="AY194" s="36">
        <v>1809.0308599999998</v>
      </c>
      <c r="AZ194" s="16">
        <v>5050.3500000000004</v>
      </c>
      <c r="BA194" s="16"/>
    </row>
    <row r="195" spans="1:53" x14ac:dyDescent="0.3">
      <c r="A195" t="s">
        <v>85</v>
      </c>
      <c r="B195" s="9">
        <v>46139</v>
      </c>
      <c r="C195">
        <v>0</v>
      </c>
      <c r="D195" t="s">
        <v>84</v>
      </c>
      <c r="E195">
        <v>2103</v>
      </c>
      <c r="F195">
        <v>2103</v>
      </c>
      <c r="G195"/>
      <c r="H195"/>
      <c r="J195" t="s">
        <v>610</v>
      </c>
      <c r="K195" t="s">
        <v>611</v>
      </c>
      <c r="L195" t="s">
        <v>634</v>
      </c>
      <c r="M195" t="s">
        <v>86</v>
      </c>
      <c r="N195" t="s">
        <v>635</v>
      </c>
      <c r="O195" t="s">
        <v>87</v>
      </c>
      <c r="P195" t="s">
        <v>89</v>
      </c>
      <c r="Q195" t="s">
        <v>90</v>
      </c>
      <c r="R195">
        <v>2026</v>
      </c>
      <c r="S195">
        <v>2026</v>
      </c>
      <c r="T195" t="s">
        <v>88</v>
      </c>
      <c r="U195">
        <v>85</v>
      </c>
      <c r="V195">
        <v>84669</v>
      </c>
      <c r="W195">
        <v>152.16</v>
      </c>
      <c r="X195">
        <v>420.86</v>
      </c>
      <c r="Y195">
        <v>0</v>
      </c>
      <c r="Z195">
        <v>65.209999999999994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12700.35</v>
      </c>
      <c r="AG195">
        <v>320000</v>
      </c>
      <c r="AH195">
        <v>150000</v>
      </c>
      <c r="AI195">
        <v>0</v>
      </c>
      <c r="AJ195">
        <v>150000</v>
      </c>
      <c r="AK195">
        <v>10000</v>
      </c>
      <c r="AL195">
        <v>10000</v>
      </c>
      <c r="AM195" s="42">
        <v>46113</v>
      </c>
      <c r="AN195" s="42">
        <v>46447</v>
      </c>
      <c r="AO195">
        <v>0</v>
      </c>
      <c r="AP195">
        <v>0</v>
      </c>
      <c r="AQ195">
        <v>0</v>
      </c>
      <c r="AR195" s="8">
        <f t="shared" si="4"/>
        <v>2391.0700000000002</v>
      </c>
      <c r="AS195" s="38">
        <f t="shared" ref="AS195:AS214" si="6">(AR195*70%)+((AR195*70%)*7.38%)</f>
        <v>1797.2716762</v>
      </c>
      <c r="AT195" s="39" t="s">
        <v>872</v>
      </c>
      <c r="AU195" s="40">
        <f>VLOOKUP(N195,'Apólice Endosso'!D:XFD,23,0)</f>
        <v>0</v>
      </c>
      <c r="AV195" s="39" t="str">
        <f>VLOOKUP(N195,'Apólice Endosso'!D:XFD,28,0)</f>
        <v>Padrão (100%) sem blindagem - 150k - Contrato 2025</v>
      </c>
      <c r="AW195" s="41" t="str">
        <f>IF(VLOOKUP(N195,'Apólice Endosso'!D:XFD,47,0)=0,"",VLOOKUP(N195,'Apólice Endosso'!D:XFD,47,0))</f>
        <v/>
      </c>
      <c r="AX195" s="40">
        <f>VLOOKUP(N195,'Apólice Endosso'!D:XFD,30,0)</f>
        <v>5050.3500000000004</v>
      </c>
      <c r="AY195" s="36">
        <v>1809.0308599999998</v>
      </c>
      <c r="AZ195" s="16">
        <v>5050.3500000000004</v>
      </c>
      <c r="BA195" s="16"/>
    </row>
    <row r="196" spans="1:53" x14ac:dyDescent="0.3">
      <c r="A196" t="s">
        <v>85</v>
      </c>
      <c r="B196" s="9">
        <v>46139</v>
      </c>
      <c r="C196">
        <v>0</v>
      </c>
      <c r="D196" t="s">
        <v>84</v>
      </c>
      <c r="E196">
        <v>2103</v>
      </c>
      <c r="F196">
        <v>2103</v>
      </c>
      <c r="G196"/>
      <c r="H196"/>
      <c r="J196" t="s">
        <v>610</v>
      </c>
      <c r="K196" t="s">
        <v>611</v>
      </c>
      <c r="L196" t="s">
        <v>636</v>
      </c>
      <c r="M196" t="s">
        <v>86</v>
      </c>
      <c r="N196" t="s">
        <v>637</v>
      </c>
      <c r="O196" t="s">
        <v>87</v>
      </c>
      <c r="P196" t="s">
        <v>89</v>
      </c>
      <c r="Q196" t="s">
        <v>90</v>
      </c>
      <c r="R196">
        <v>2026</v>
      </c>
      <c r="S196">
        <v>2026</v>
      </c>
      <c r="T196" t="s">
        <v>88</v>
      </c>
      <c r="U196">
        <v>85</v>
      </c>
      <c r="V196">
        <v>84669</v>
      </c>
      <c r="W196">
        <v>152.16</v>
      </c>
      <c r="X196">
        <v>420.86</v>
      </c>
      <c r="Y196">
        <v>0</v>
      </c>
      <c r="Z196">
        <v>65.209999999999994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12700.35</v>
      </c>
      <c r="AG196">
        <v>320000</v>
      </c>
      <c r="AH196">
        <v>150000</v>
      </c>
      <c r="AI196">
        <v>0</v>
      </c>
      <c r="AJ196">
        <v>150000</v>
      </c>
      <c r="AK196">
        <v>10000</v>
      </c>
      <c r="AL196">
        <v>10000</v>
      </c>
      <c r="AM196" s="42">
        <v>46113</v>
      </c>
      <c r="AN196" s="42">
        <v>46447</v>
      </c>
      <c r="AO196">
        <v>0</v>
      </c>
      <c r="AP196">
        <v>0</v>
      </c>
      <c r="AQ196">
        <v>0</v>
      </c>
      <c r="AR196" s="8">
        <f t="shared" ref="AR196:AR259" si="7">((W196+Z196)*11)</f>
        <v>2391.0700000000002</v>
      </c>
      <c r="AS196" s="38">
        <f t="shared" si="6"/>
        <v>1797.2716762</v>
      </c>
      <c r="AT196" s="39" t="s">
        <v>872</v>
      </c>
      <c r="AU196" s="40">
        <f>VLOOKUP(N196,'Apólice Endosso'!D:XFD,23,0)</f>
        <v>0</v>
      </c>
      <c r="AV196" s="39" t="str">
        <f>VLOOKUP(N196,'Apólice Endosso'!D:XFD,28,0)</f>
        <v>Padrão (100%) sem blindagem - 150k - Contrato 2025</v>
      </c>
      <c r="AW196" s="41" t="str">
        <f>IF(VLOOKUP(N196,'Apólice Endosso'!D:XFD,47,0)=0,"",VLOOKUP(N196,'Apólice Endosso'!D:XFD,47,0))</f>
        <v/>
      </c>
      <c r="AX196" s="40">
        <f>VLOOKUP(N196,'Apólice Endosso'!D:XFD,30,0)</f>
        <v>5050.3500000000004</v>
      </c>
      <c r="AY196" s="36">
        <v>1809.0308599999998</v>
      </c>
      <c r="AZ196" s="16">
        <v>5050.3500000000004</v>
      </c>
      <c r="BA196" s="16"/>
    </row>
    <row r="197" spans="1:53" x14ac:dyDescent="0.3">
      <c r="A197" t="s">
        <v>85</v>
      </c>
      <c r="B197" s="9">
        <v>46139</v>
      </c>
      <c r="C197">
        <v>0</v>
      </c>
      <c r="D197" t="s">
        <v>84</v>
      </c>
      <c r="E197">
        <v>2103</v>
      </c>
      <c r="F197">
        <v>2103</v>
      </c>
      <c r="G197"/>
      <c r="H197"/>
      <c r="J197" t="s">
        <v>610</v>
      </c>
      <c r="K197" t="s">
        <v>611</v>
      </c>
      <c r="L197" t="s">
        <v>638</v>
      </c>
      <c r="M197" t="s">
        <v>86</v>
      </c>
      <c r="N197" t="s">
        <v>639</v>
      </c>
      <c r="O197" t="s">
        <v>87</v>
      </c>
      <c r="P197" t="s">
        <v>99</v>
      </c>
      <c r="Q197" t="s">
        <v>100</v>
      </c>
      <c r="R197">
        <v>2026</v>
      </c>
      <c r="S197">
        <v>2026</v>
      </c>
      <c r="T197" t="s">
        <v>101</v>
      </c>
      <c r="U197">
        <v>85</v>
      </c>
      <c r="V197">
        <v>133248</v>
      </c>
      <c r="W197">
        <v>129.57</v>
      </c>
      <c r="X197">
        <v>599.20000000000005</v>
      </c>
      <c r="Y197">
        <v>0</v>
      </c>
      <c r="Z197">
        <v>55.53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19987.2</v>
      </c>
      <c r="AG197">
        <v>320000</v>
      </c>
      <c r="AH197">
        <v>150000</v>
      </c>
      <c r="AI197">
        <v>0</v>
      </c>
      <c r="AJ197">
        <v>150000</v>
      </c>
      <c r="AK197">
        <v>10000</v>
      </c>
      <c r="AL197">
        <v>10000</v>
      </c>
      <c r="AM197" s="42">
        <v>46113</v>
      </c>
      <c r="AN197" s="42">
        <v>46447</v>
      </c>
      <c r="AO197">
        <v>0</v>
      </c>
      <c r="AP197">
        <v>0</v>
      </c>
      <c r="AQ197">
        <v>0</v>
      </c>
      <c r="AR197" s="8">
        <f t="shared" si="7"/>
        <v>2036.1</v>
      </c>
      <c r="AS197" s="38">
        <f t="shared" si="6"/>
        <v>1530.4549259999997</v>
      </c>
      <c r="AT197" s="39" t="s">
        <v>872</v>
      </c>
      <c r="AU197" s="40">
        <f>VLOOKUP(N197,'Apólice Endosso'!D:XFD,23,0)</f>
        <v>0</v>
      </c>
      <c r="AV197" s="39" t="str">
        <f>VLOOKUP(N197,'Apólice Endosso'!D:XFD,28,0)</f>
        <v>Padrão (100%) sem blindagem - 150k - Contrato 2025</v>
      </c>
      <c r="AW197" s="41" t="str">
        <f>IF(VLOOKUP(N197,'Apólice Endosso'!D:XFD,47,0)=0,"",VLOOKUP(N197,'Apólice Endosso'!D:XFD,47,0))</f>
        <v/>
      </c>
      <c r="AX197" s="40">
        <f>VLOOKUP(N197,'Apólice Endosso'!D:XFD,30,0)</f>
        <v>7190.4</v>
      </c>
      <c r="AY197" s="36">
        <v>1564.8594780000003</v>
      </c>
      <c r="AZ197" s="16">
        <v>7190.4</v>
      </c>
      <c r="BA197" s="16"/>
    </row>
    <row r="198" spans="1:53" x14ac:dyDescent="0.3">
      <c r="A198" t="s">
        <v>85</v>
      </c>
      <c r="B198" s="9">
        <v>46139</v>
      </c>
      <c r="C198">
        <v>0</v>
      </c>
      <c r="D198" t="s">
        <v>84</v>
      </c>
      <c r="E198">
        <v>2103</v>
      </c>
      <c r="F198">
        <v>2103</v>
      </c>
      <c r="G198"/>
      <c r="H198"/>
      <c r="J198" t="s">
        <v>640</v>
      </c>
      <c r="K198" t="s">
        <v>641</v>
      </c>
      <c r="L198" t="s">
        <v>642</v>
      </c>
      <c r="M198" t="s">
        <v>86</v>
      </c>
      <c r="N198" t="s">
        <v>643</v>
      </c>
      <c r="O198" t="s">
        <v>87</v>
      </c>
      <c r="P198" t="s">
        <v>89</v>
      </c>
      <c r="Q198" t="s">
        <v>90</v>
      </c>
      <c r="R198">
        <v>2026</v>
      </c>
      <c r="S198">
        <v>2026</v>
      </c>
      <c r="T198" t="s">
        <v>88</v>
      </c>
      <c r="U198">
        <v>85</v>
      </c>
      <c r="V198">
        <v>84669</v>
      </c>
      <c r="W198">
        <v>153.06</v>
      </c>
      <c r="X198">
        <v>420.86</v>
      </c>
      <c r="Y198">
        <v>0</v>
      </c>
      <c r="Z198">
        <v>68.73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12700.35</v>
      </c>
      <c r="AG198">
        <v>620000</v>
      </c>
      <c r="AH198">
        <v>300000</v>
      </c>
      <c r="AI198">
        <v>0</v>
      </c>
      <c r="AJ198">
        <v>300000</v>
      </c>
      <c r="AK198">
        <v>10000</v>
      </c>
      <c r="AL198">
        <v>10000</v>
      </c>
      <c r="AM198" s="42">
        <v>46113</v>
      </c>
      <c r="AN198" s="42">
        <v>46447</v>
      </c>
      <c r="AO198">
        <v>0</v>
      </c>
      <c r="AP198">
        <v>0</v>
      </c>
      <c r="AQ198">
        <v>0</v>
      </c>
      <c r="AR198" s="8">
        <f t="shared" si="7"/>
        <v>2439.69</v>
      </c>
      <c r="AS198" s="38">
        <f t="shared" si="6"/>
        <v>1833.8173853999999</v>
      </c>
      <c r="AT198" s="39" t="s">
        <v>172</v>
      </c>
      <c r="AU198" s="40">
        <f>VLOOKUP(N198,'Apólice Endosso'!D:XFD,23,0)</f>
        <v>0</v>
      </c>
      <c r="AV198" s="39" t="str">
        <f>VLOOKUP(N198,'Apólice Endosso'!D:XFD,28,0)</f>
        <v>Padrão (100%) sem blindagem - 300k - Contrato 2025</v>
      </c>
      <c r="AW198" s="41" t="str">
        <f>IF(VLOOKUP(N198,'Apólice Endosso'!D:XFD,47,0)=0,"",VLOOKUP(N198,'Apólice Endosso'!D:XFD,47,0))</f>
        <v/>
      </c>
      <c r="AX198" s="40">
        <f>VLOOKUP(N198,'Apólice Endosso'!D:XFD,30,0)</f>
        <v>5050.3500000000004</v>
      </c>
      <c r="AY198" s="36">
        <v>1842.4582539999999</v>
      </c>
      <c r="AZ198" s="16">
        <v>5050.3500000000004</v>
      </c>
      <c r="BA198" s="16"/>
    </row>
    <row r="199" spans="1:53" x14ac:dyDescent="0.3">
      <c r="A199" t="s">
        <v>85</v>
      </c>
      <c r="B199" s="9">
        <v>46139</v>
      </c>
      <c r="C199">
        <v>0</v>
      </c>
      <c r="D199" t="s">
        <v>84</v>
      </c>
      <c r="E199">
        <v>2103</v>
      </c>
      <c r="F199">
        <v>2103</v>
      </c>
      <c r="G199"/>
      <c r="H199"/>
      <c r="J199" t="s">
        <v>644</v>
      </c>
      <c r="K199" t="s">
        <v>645</v>
      </c>
      <c r="L199" t="s">
        <v>646</v>
      </c>
      <c r="M199" t="s">
        <v>86</v>
      </c>
      <c r="N199" t="s">
        <v>647</v>
      </c>
      <c r="O199" t="s">
        <v>87</v>
      </c>
      <c r="P199" t="s">
        <v>89</v>
      </c>
      <c r="Q199" t="s">
        <v>90</v>
      </c>
      <c r="R199">
        <v>2026</v>
      </c>
      <c r="S199">
        <v>2026</v>
      </c>
      <c r="T199" t="s">
        <v>88</v>
      </c>
      <c r="U199">
        <v>85</v>
      </c>
      <c r="V199">
        <v>84669</v>
      </c>
      <c r="W199">
        <v>153.06</v>
      </c>
      <c r="X199">
        <v>420.86</v>
      </c>
      <c r="Y199">
        <v>0</v>
      </c>
      <c r="Z199">
        <v>68.73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12700.35</v>
      </c>
      <c r="AG199">
        <v>620000</v>
      </c>
      <c r="AH199">
        <v>300000</v>
      </c>
      <c r="AI199">
        <v>0</v>
      </c>
      <c r="AJ199">
        <v>300000</v>
      </c>
      <c r="AK199">
        <v>10000</v>
      </c>
      <c r="AL199">
        <v>10000</v>
      </c>
      <c r="AM199" s="42">
        <v>46113</v>
      </c>
      <c r="AN199" s="42">
        <v>46447</v>
      </c>
      <c r="AO199">
        <v>0</v>
      </c>
      <c r="AP199">
        <v>0</v>
      </c>
      <c r="AQ199">
        <v>0</v>
      </c>
      <c r="AR199" s="8">
        <f t="shared" si="7"/>
        <v>2439.69</v>
      </c>
      <c r="AS199" s="38">
        <f t="shared" si="6"/>
        <v>1833.8173853999999</v>
      </c>
      <c r="AT199" s="39" t="s">
        <v>872</v>
      </c>
      <c r="AU199" s="40">
        <f>VLOOKUP(N199,'Apólice Endosso'!D:XFD,23,0)</f>
        <v>0</v>
      </c>
      <c r="AV199" s="39" t="str">
        <f>VLOOKUP(N199,'Apólice Endosso'!D:XFD,28,0)</f>
        <v>Padrão (100%) sem blindagem - 300k - Contrato 2025</v>
      </c>
      <c r="AW199" s="41" t="str">
        <f>IF(VLOOKUP(N199,'Apólice Endosso'!D:XFD,47,0)=0,"",VLOOKUP(N199,'Apólice Endosso'!D:XFD,47,0))</f>
        <v/>
      </c>
      <c r="AX199" s="40">
        <f>VLOOKUP(N199,'Apólice Endosso'!D:XFD,30,0)</f>
        <v>5050.3500000000004</v>
      </c>
      <c r="AY199" s="36">
        <v>1842.4582539999999</v>
      </c>
      <c r="AZ199" s="16">
        <v>5050.3500000000004</v>
      </c>
      <c r="BA199" s="16"/>
    </row>
    <row r="200" spans="1:53" x14ac:dyDescent="0.3">
      <c r="A200" t="s">
        <v>85</v>
      </c>
      <c r="B200" s="9">
        <v>46139</v>
      </c>
      <c r="C200">
        <v>0</v>
      </c>
      <c r="D200" t="s">
        <v>84</v>
      </c>
      <c r="E200">
        <v>2103</v>
      </c>
      <c r="F200">
        <v>2103</v>
      </c>
      <c r="G200"/>
      <c r="H200"/>
      <c r="J200" t="s">
        <v>648</v>
      </c>
      <c r="K200" t="s">
        <v>649</v>
      </c>
      <c r="L200" t="s">
        <v>650</v>
      </c>
      <c r="M200" t="s">
        <v>86</v>
      </c>
      <c r="N200" t="s">
        <v>651</v>
      </c>
      <c r="O200" t="s">
        <v>87</v>
      </c>
      <c r="P200" t="s">
        <v>89</v>
      </c>
      <c r="Q200" t="s">
        <v>90</v>
      </c>
      <c r="R200">
        <v>2026</v>
      </c>
      <c r="S200">
        <v>2026</v>
      </c>
      <c r="T200" t="s">
        <v>88</v>
      </c>
      <c r="U200">
        <v>85</v>
      </c>
      <c r="V200">
        <v>84669</v>
      </c>
      <c r="W200">
        <v>153.06</v>
      </c>
      <c r="X200">
        <v>420.86</v>
      </c>
      <c r="Y200">
        <v>0</v>
      </c>
      <c r="Z200">
        <v>68.73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12700.35</v>
      </c>
      <c r="AG200">
        <v>620000</v>
      </c>
      <c r="AH200">
        <v>300000</v>
      </c>
      <c r="AI200">
        <v>0</v>
      </c>
      <c r="AJ200">
        <v>300000</v>
      </c>
      <c r="AK200">
        <v>10000</v>
      </c>
      <c r="AL200">
        <v>10000</v>
      </c>
      <c r="AM200" s="42">
        <v>46113</v>
      </c>
      <c r="AN200" s="42">
        <v>46447</v>
      </c>
      <c r="AO200">
        <v>0</v>
      </c>
      <c r="AP200">
        <v>0</v>
      </c>
      <c r="AQ200">
        <v>0</v>
      </c>
      <c r="AR200" s="8">
        <f t="shared" si="7"/>
        <v>2439.69</v>
      </c>
      <c r="AS200" s="38">
        <f t="shared" si="6"/>
        <v>1833.8173853999999</v>
      </c>
      <c r="AT200" s="39" t="s">
        <v>866</v>
      </c>
      <c r="AU200" s="40">
        <f>VLOOKUP(N200,'Apólice Endosso'!D:XFD,23,0)</f>
        <v>0</v>
      </c>
      <c r="AV200" s="39" t="str">
        <f>VLOOKUP(N200,'Apólice Endosso'!D:XFD,28,0)</f>
        <v>Padrão (100%) sem blindagem - 300k - Contrato 2025</v>
      </c>
      <c r="AW200" s="41" t="str">
        <f>IF(VLOOKUP(N200,'Apólice Endosso'!D:XFD,47,0)=0,"",VLOOKUP(N200,'Apólice Endosso'!D:XFD,47,0))</f>
        <v/>
      </c>
      <c r="AX200" s="40">
        <f>VLOOKUP(N200,'Apólice Endosso'!D:XFD,30,0)</f>
        <v>5050.3500000000004</v>
      </c>
      <c r="AY200" s="36">
        <v>1842.4582539999999</v>
      </c>
      <c r="AZ200" s="16">
        <v>5050.3500000000004</v>
      </c>
      <c r="BA200" s="16"/>
    </row>
    <row r="201" spans="1:53" x14ac:dyDescent="0.3">
      <c r="A201" t="s">
        <v>85</v>
      </c>
      <c r="B201" s="9">
        <v>46140</v>
      </c>
      <c r="C201">
        <v>0</v>
      </c>
      <c r="D201" t="s">
        <v>84</v>
      </c>
      <c r="E201">
        <v>2103</v>
      </c>
      <c r="F201">
        <v>2103</v>
      </c>
      <c r="G201"/>
      <c r="H201"/>
      <c r="J201" t="s">
        <v>149</v>
      </c>
      <c r="K201" t="s">
        <v>150</v>
      </c>
      <c r="L201" t="s">
        <v>652</v>
      </c>
      <c r="M201" t="s">
        <v>86</v>
      </c>
      <c r="N201" t="s">
        <v>653</v>
      </c>
      <c r="O201" t="s">
        <v>87</v>
      </c>
      <c r="P201" t="s">
        <v>89</v>
      </c>
      <c r="Q201" t="s">
        <v>90</v>
      </c>
      <c r="R201">
        <v>2026</v>
      </c>
      <c r="S201">
        <v>2026</v>
      </c>
      <c r="T201" t="s">
        <v>88</v>
      </c>
      <c r="U201">
        <v>85</v>
      </c>
      <c r="V201">
        <v>84669</v>
      </c>
      <c r="W201">
        <v>152.16</v>
      </c>
      <c r="X201">
        <v>420.86</v>
      </c>
      <c r="Y201">
        <v>0</v>
      </c>
      <c r="Z201">
        <v>65.209999999999994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12700.35</v>
      </c>
      <c r="AG201">
        <v>320000</v>
      </c>
      <c r="AH201">
        <v>150000</v>
      </c>
      <c r="AI201">
        <v>0</v>
      </c>
      <c r="AJ201">
        <v>150000</v>
      </c>
      <c r="AK201">
        <v>10000</v>
      </c>
      <c r="AL201">
        <v>10000</v>
      </c>
      <c r="AM201" s="42">
        <v>46113</v>
      </c>
      <c r="AN201" s="42">
        <v>46447</v>
      </c>
      <c r="AO201">
        <v>0</v>
      </c>
      <c r="AP201">
        <v>0</v>
      </c>
      <c r="AQ201">
        <v>0</v>
      </c>
      <c r="AR201" s="8">
        <f t="shared" si="7"/>
        <v>2391.0700000000002</v>
      </c>
      <c r="AS201" s="38">
        <f t="shared" si="6"/>
        <v>1797.2716762</v>
      </c>
      <c r="AT201" s="39" t="s">
        <v>173</v>
      </c>
      <c r="AU201" s="40">
        <f>VLOOKUP(N201,'Apólice Endosso'!D:XFD,23,0)</f>
        <v>0</v>
      </c>
      <c r="AV201" s="39" t="str">
        <f>VLOOKUP(N201,'Apólice Endosso'!D:XFD,28,0)</f>
        <v>Padrão (100%) sem blindagem - 150k - Contrato 2025</v>
      </c>
      <c r="AW201" s="41" t="str">
        <f>IF(VLOOKUP(N201,'Apólice Endosso'!D:XFD,47,0)=0,"",VLOOKUP(N201,'Apólice Endosso'!D:XFD,47,0))</f>
        <v/>
      </c>
      <c r="AX201" s="40">
        <f>VLOOKUP(N201,'Apólice Endosso'!D:XFD,30,0)</f>
        <v>5050.3500000000004</v>
      </c>
      <c r="AY201" s="36">
        <v>1809.0308599999998</v>
      </c>
      <c r="AZ201" s="16">
        <v>5050.3500000000004</v>
      </c>
      <c r="BA201" s="16"/>
    </row>
    <row r="202" spans="1:53" x14ac:dyDescent="0.3">
      <c r="A202" t="s">
        <v>85</v>
      </c>
      <c r="B202" s="9">
        <v>46140</v>
      </c>
      <c r="C202">
        <v>0</v>
      </c>
      <c r="D202" t="s">
        <v>84</v>
      </c>
      <c r="E202">
        <v>2103</v>
      </c>
      <c r="F202">
        <v>2103</v>
      </c>
      <c r="G202"/>
      <c r="H202"/>
      <c r="J202" t="s">
        <v>149</v>
      </c>
      <c r="K202" t="s">
        <v>150</v>
      </c>
      <c r="L202" t="s">
        <v>654</v>
      </c>
      <c r="M202" t="s">
        <v>86</v>
      </c>
      <c r="N202" t="s">
        <v>655</v>
      </c>
      <c r="O202" t="s">
        <v>87</v>
      </c>
      <c r="P202" t="s">
        <v>89</v>
      </c>
      <c r="Q202" t="s">
        <v>90</v>
      </c>
      <c r="R202">
        <v>2026</v>
      </c>
      <c r="S202">
        <v>2026</v>
      </c>
      <c r="T202" t="s">
        <v>88</v>
      </c>
      <c r="U202">
        <v>85</v>
      </c>
      <c r="V202">
        <v>84669</v>
      </c>
      <c r="W202">
        <v>152.16</v>
      </c>
      <c r="X202">
        <v>420.86</v>
      </c>
      <c r="Y202">
        <v>0</v>
      </c>
      <c r="Z202">
        <v>65.209999999999994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12700.35</v>
      </c>
      <c r="AG202">
        <v>320000</v>
      </c>
      <c r="AH202">
        <v>150000</v>
      </c>
      <c r="AI202">
        <v>0</v>
      </c>
      <c r="AJ202">
        <v>150000</v>
      </c>
      <c r="AK202">
        <v>10000</v>
      </c>
      <c r="AL202">
        <v>10000</v>
      </c>
      <c r="AM202" s="42">
        <v>46113</v>
      </c>
      <c r="AN202" s="42">
        <v>46447</v>
      </c>
      <c r="AO202">
        <v>0</v>
      </c>
      <c r="AP202">
        <v>0</v>
      </c>
      <c r="AQ202">
        <v>0</v>
      </c>
      <c r="AR202" s="8">
        <f t="shared" si="7"/>
        <v>2391.0700000000002</v>
      </c>
      <c r="AS202" s="38">
        <f t="shared" si="6"/>
        <v>1797.2716762</v>
      </c>
      <c r="AT202" s="39" t="s">
        <v>173</v>
      </c>
      <c r="AU202" s="40">
        <f>VLOOKUP(N202,'Apólice Endosso'!D:XFD,23,0)</f>
        <v>0</v>
      </c>
      <c r="AV202" s="39" t="str">
        <f>VLOOKUP(N202,'Apólice Endosso'!D:XFD,28,0)</f>
        <v>Padrão (100%) sem blindagem - 150k - Contrato 2025</v>
      </c>
      <c r="AW202" s="41" t="str">
        <f>IF(VLOOKUP(N202,'Apólice Endosso'!D:XFD,47,0)=0,"",VLOOKUP(N202,'Apólice Endosso'!D:XFD,47,0))</f>
        <v/>
      </c>
      <c r="AX202" s="40">
        <f>VLOOKUP(N202,'Apólice Endosso'!D:XFD,30,0)</f>
        <v>5050.3500000000004</v>
      </c>
      <c r="AY202" s="36">
        <v>1809.0308599999998</v>
      </c>
      <c r="AZ202" s="16">
        <v>5050.3500000000004</v>
      </c>
      <c r="BA202" s="16"/>
    </row>
    <row r="203" spans="1:53" x14ac:dyDescent="0.3">
      <c r="A203" t="s">
        <v>85</v>
      </c>
      <c r="B203" s="9">
        <v>46140</v>
      </c>
      <c r="C203">
        <v>0</v>
      </c>
      <c r="D203" t="s">
        <v>84</v>
      </c>
      <c r="E203">
        <v>2103</v>
      </c>
      <c r="F203">
        <v>2103</v>
      </c>
      <c r="G203"/>
      <c r="H203"/>
      <c r="J203" t="s">
        <v>149</v>
      </c>
      <c r="K203" t="s">
        <v>150</v>
      </c>
      <c r="L203" t="s">
        <v>656</v>
      </c>
      <c r="M203" t="s">
        <v>86</v>
      </c>
      <c r="N203" t="s">
        <v>657</v>
      </c>
      <c r="O203" t="s">
        <v>87</v>
      </c>
      <c r="P203" t="s">
        <v>89</v>
      </c>
      <c r="Q203" t="s">
        <v>90</v>
      </c>
      <c r="R203">
        <v>2026</v>
      </c>
      <c r="S203">
        <v>2026</v>
      </c>
      <c r="T203" t="s">
        <v>88</v>
      </c>
      <c r="U203">
        <v>85</v>
      </c>
      <c r="V203">
        <v>84669</v>
      </c>
      <c r="W203">
        <v>152.16</v>
      </c>
      <c r="X203">
        <v>420.86</v>
      </c>
      <c r="Y203">
        <v>0</v>
      </c>
      <c r="Z203">
        <v>65.209999999999994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12700.35</v>
      </c>
      <c r="AG203">
        <v>320000</v>
      </c>
      <c r="AH203">
        <v>150000</v>
      </c>
      <c r="AI203">
        <v>0</v>
      </c>
      <c r="AJ203">
        <v>150000</v>
      </c>
      <c r="AK203">
        <v>10000</v>
      </c>
      <c r="AL203">
        <v>10000</v>
      </c>
      <c r="AM203" s="42">
        <v>46113</v>
      </c>
      <c r="AN203" s="42">
        <v>46447</v>
      </c>
      <c r="AO203">
        <v>0</v>
      </c>
      <c r="AP203">
        <v>0</v>
      </c>
      <c r="AQ203">
        <v>0</v>
      </c>
      <c r="AR203" s="8">
        <f t="shared" si="7"/>
        <v>2391.0700000000002</v>
      </c>
      <c r="AS203" s="38">
        <f t="shared" si="6"/>
        <v>1797.2716762</v>
      </c>
      <c r="AT203" s="39" t="s">
        <v>173</v>
      </c>
      <c r="AU203" s="40">
        <f>VLOOKUP(N203,'Apólice Endosso'!D:XFD,23,0)</f>
        <v>0</v>
      </c>
      <c r="AV203" s="39" t="str">
        <f>VLOOKUP(N203,'Apólice Endosso'!D:XFD,28,0)</f>
        <v>Padrão (100%) sem blindagem - 150k - Contrato 2025</v>
      </c>
      <c r="AW203" s="41" t="str">
        <f>IF(VLOOKUP(N203,'Apólice Endosso'!D:XFD,47,0)=0,"",VLOOKUP(N203,'Apólice Endosso'!D:XFD,47,0))</f>
        <v/>
      </c>
      <c r="AX203" s="40">
        <f>VLOOKUP(N203,'Apólice Endosso'!D:XFD,30,0)</f>
        <v>5050.3500000000004</v>
      </c>
      <c r="AY203" s="36">
        <v>1809.0308599999998</v>
      </c>
      <c r="AZ203" s="16">
        <v>5050.3500000000004</v>
      </c>
      <c r="BA203" s="16"/>
    </row>
    <row r="204" spans="1:53" x14ac:dyDescent="0.3">
      <c r="A204" t="s">
        <v>85</v>
      </c>
      <c r="B204" s="9">
        <v>46140</v>
      </c>
      <c r="C204">
        <v>0</v>
      </c>
      <c r="D204" t="s">
        <v>84</v>
      </c>
      <c r="E204">
        <v>2103</v>
      </c>
      <c r="F204">
        <v>2103</v>
      </c>
      <c r="G204"/>
      <c r="H204"/>
      <c r="J204" t="s">
        <v>149</v>
      </c>
      <c r="K204" t="s">
        <v>150</v>
      </c>
      <c r="L204" t="s">
        <v>658</v>
      </c>
      <c r="M204" t="s">
        <v>86</v>
      </c>
      <c r="N204" t="s">
        <v>659</v>
      </c>
      <c r="O204" t="s">
        <v>87</v>
      </c>
      <c r="P204" t="s">
        <v>89</v>
      </c>
      <c r="Q204" t="s">
        <v>90</v>
      </c>
      <c r="R204">
        <v>2026</v>
      </c>
      <c r="S204">
        <v>2026</v>
      </c>
      <c r="T204" t="s">
        <v>88</v>
      </c>
      <c r="U204">
        <v>85</v>
      </c>
      <c r="V204">
        <v>84669</v>
      </c>
      <c r="W204">
        <v>152.16</v>
      </c>
      <c r="X204">
        <v>420.86</v>
      </c>
      <c r="Y204">
        <v>0</v>
      </c>
      <c r="Z204">
        <v>65.209999999999994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12700.35</v>
      </c>
      <c r="AG204">
        <v>320000</v>
      </c>
      <c r="AH204">
        <v>150000</v>
      </c>
      <c r="AI204">
        <v>0</v>
      </c>
      <c r="AJ204">
        <v>150000</v>
      </c>
      <c r="AK204">
        <v>10000</v>
      </c>
      <c r="AL204">
        <v>10000</v>
      </c>
      <c r="AM204" s="42">
        <v>46113</v>
      </c>
      <c r="AN204" s="42">
        <v>46447</v>
      </c>
      <c r="AO204">
        <v>0</v>
      </c>
      <c r="AP204">
        <v>0</v>
      </c>
      <c r="AQ204">
        <v>0</v>
      </c>
      <c r="AR204" s="8">
        <f t="shared" si="7"/>
        <v>2391.0700000000002</v>
      </c>
      <c r="AS204" s="38">
        <f t="shared" si="6"/>
        <v>1797.2716762</v>
      </c>
      <c r="AT204" s="39" t="s">
        <v>173</v>
      </c>
      <c r="AU204" s="40">
        <f>VLOOKUP(N204,'Apólice Endosso'!D:XFD,23,0)</f>
        <v>0</v>
      </c>
      <c r="AV204" s="39" t="str">
        <f>VLOOKUP(N204,'Apólice Endosso'!D:XFD,28,0)</f>
        <v>Padrão (100%) sem blindagem - 150k - Contrato 2025</v>
      </c>
      <c r="AW204" s="41" t="str">
        <f>IF(VLOOKUP(N204,'Apólice Endosso'!D:XFD,47,0)=0,"",VLOOKUP(N204,'Apólice Endosso'!D:XFD,47,0))</f>
        <v/>
      </c>
      <c r="AX204" s="40">
        <f>VLOOKUP(N204,'Apólice Endosso'!D:XFD,30,0)</f>
        <v>5050.3500000000004</v>
      </c>
      <c r="AY204" s="36">
        <v>1809.0308599999998</v>
      </c>
      <c r="AZ204" s="16">
        <v>5050.3500000000004</v>
      </c>
      <c r="BA204" s="16"/>
    </row>
    <row r="205" spans="1:53" x14ac:dyDescent="0.3">
      <c r="A205" t="s">
        <v>85</v>
      </c>
      <c r="B205" s="9">
        <v>46140</v>
      </c>
      <c r="C205">
        <v>0</v>
      </c>
      <c r="D205" t="s">
        <v>84</v>
      </c>
      <c r="E205">
        <v>2103</v>
      </c>
      <c r="F205">
        <v>2103</v>
      </c>
      <c r="G205"/>
      <c r="H205"/>
      <c r="J205" t="s">
        <v>97</v>
      </c>
      <c r="K205" t="s">
        <v>98</v>
      </c>
      <c r="L205" t="s">
        <v>660</v>
      </c>
      <c r="M205" t="s">
        <v>86</v>
      </c>
      <c r="N205" t="s">
        <v>661</v>
      </c>
      <c r="O205" t="s">
        <v>87</v>
      </c>
      <c r="P205" t="s">
        <v>102</v>
      </c>
      <c r="Q205" t="s">
        <v>103</v>
      </c>
      <c r="R205">
        <v>2025</v>
      </c>
      <c r="S205">
        <v>2026</v>
      </c>
      <c r="T205" t="s">
        <v>101</v>
      </c>
      <c r="U205">
        <v>85</v>
      </c>
      <c r="V205">
        <v>133248</v>
      </c>
      <c r="W205">
        <v>139.63</v>
      </c>
      <c r="X205">
        <v>587.41999999999996</v>
      </c>
      <c r="Y205">
        <v>0</v>
      </c>
      <c r="Z205">
        <v>59.84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19987.2</v>
      </c>
      <c r="AG205">
        <v>2220000</v>
      </c>
      <c r="AH205">
        <v>1000000</v>
      </c>
      <c r="AI205">
        <v>200000</v>
      </c>
      <c r="AJ205">
        <v>1000000</v>
      </c>
      <c r="AK205">
        <v>10000</v>
      </c>
      <c r="AL205">
        <v>10000</v>
      </c>
      <c r="AM205" s="42">
        <v>46113</v>
      </c>
      <c r="AN205" s="42">
        <v>46447</v>
      </c>
      <c r="AO205">
        <v>0</v>
      </c>
      <c r="AP205">
        <v>0</v>
      </c>
      <c r="AQ205">
        <v>0</v>
      </c>
      <c r="AR205" s="8">
        <f t="shared" si="7"/>
        <v>2194.17</v>
      </c>
      <c r="AS205" s="38">
        <f t="shared" si="6"/>
        <v>1649.2698221999999</v>
      </c>
      <c r="AT205" s="39" t="s">
        <v>121</v>
      </c>
      <c r="AU205" s="40">
        <f>VLOOKUP(N205,'Apólice Endosso'!D:XFD,23,0)</f>
        <v>0</v>
      </c>
      <c r="AV205" s="39" t="str">
        <f>VLOOKUP(N205,'Apólice Endosso'!D:XFD,28,0)</f>
        <v>Padrão (100%) sem blindagem - 1M - Contrato 2025</v>
      </c>
      <c r="AW205" s="41" t="str">
        <f>IF(VLOOKUP(N205,'Apólice Endosso'!D:XFD,47,0)=0,"",VLOOKUP(N205,'Apólice Endosso'!D:XFD,47,0))</f>
        <v/>
      </c>
      <c r="AX205" s="40">
        <f>VLOOKUP(N205,'Apólice Endosso'!D:XFD,30,0)</f>
        <v>7049</v>
      </c>
      <c r="AY205" s="36">
        <v>1673.5924660000003</v>
      </c>
      <c r="AZ205" s="16">
        <v>7049</v>
      </c>
      <c r="BA205" s="16"/>
    </row>
    <row r="206" spans="1:53" x14ac:dyDescent="0.3">
      <c r="A206" t="s">
        <v>85</v>
      </c>
      <c r="B206" s="9">
        <v>46140</v>
      </c>
      <c r="C206">
        <v>0</v>
      </c>
      <c r="D206" t="s">
        <v>84</v>
      </c>
      <c r="E206">
        <v>2103</v>
      </c>
      <c r="F206">
        <v>2103</v>
      </c>
      <c r="G206"/>
      <c r="H206"/>
      <c r="J206" t="s">
        <v>97</v>
      </c>
      <c r="K206" t="s">
        <v>98</v>
      </c>
      <c r="L206" t="s">
        <v>662</v>
      </c>
      <c r="M206" t="s">
        <v>86</v>
      </c>
      <c r="N206" t="s">
        <v>663</v>
      </c>
      <c r="O206" t="s">
        <v>87</v>
      </c>
      <c r="P206" t="s">
        <v>102</v>
      </c>
      <c r="Q206" t="s">
        <v>103</v>
      </c>
      <c r="R206">
        <v>2025</v>
      </c>
      <c r="S206">
        <v>2026</v>
      </c>
      <c r="T206" t="s">
        <v>101</v>
      </c>
      <c r="U206">
        <v>85</v>
      </c>
      <c r="V206">
        <v>133248</v>
      </c>
      <c r="W206">
        <v>139.63</v>
      </c>
      <c r="X206">
        <v>587.41999999999996</v>
      </c>
      <c r="Y206">
        <v>0</v>
      </c>
      <c r="Z206">
        <v>59.84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19987.2</v>
      </c>
      <c r="AG206">
        <v>2220000</v>
      </c>
      <c r="AH206">
        <v>1000000</v>
      </c>
      <c r="AI206">
        <v>200000</v>
      </c>
      <c r="AJ206">
        <v>1000000</v>
      </c>
      <c r="AK206">
        <v>10000</v>
      </c>
      <c r="AL206">
        <v>10000</v>
      </c>
      <c r="AM206" s="42">
        <v>46113</v>
      </c>
      <c r="AN206" s="42">
        <v>46447</v>
      </c>
      <c r="AO206">
        <v>0</v>
      </c>
      <c r="AP206">
        <v>0</v>
      </c>
      <c r="AQ206">
        <v>0</v>
      </c>
      <c r="AR206" s="8">
        <f t="shared" si="7"/>
        <v>2194.17</v>
      </c>
      <c r="AS206" s="38">
        <f t="shared" si="6"/>
        <v>1649.2698221999999</v>
      </c>
      <c r="AT206" s="39" t="s">
        <v>121</v>
      </c>
      <c r="AU206" s="40">
        <f>VLOOKUP(N206,'Apólice Endosso'!D:XFD,23,0)</f>
        <v>0</v>
      </c>
      <c r="AV206" s="39" t="str">
        <f>VLOOKUP(N206,'Apólice Endosso'!D:XFD,28,0)</f>
        <v>Padrão (100%) sem blindagem - 1M - Contrato 2025</v>
      </c>
      <c r="AW206" s="41" t="str">
        <f>IF(VLOOKUP(N206,'Apólice Endosso'!D:XFD,47,0)=0,"",VLOOKUP(N206,'Apólice Endosso'!D:XFD,47,0))</f>
        <v/>
      </c>
      <c r="AX206" s="40">
        <f>VLOOKUP(N206,'Apólice Endosso'!D:XFD,30,0)</f>
        <v>7049</v>
      </c>
      <c r="AY206" s="36">
        <v>1673.5924660000003</v>
      </c>
      <c r="AZ206" s="16">
        <v>7049</v>
      </c>
      <c r="BA206" s="16"/>
    </row>
    <row r="207" spans="1:53" x14ac:dyDescent="0.3">
      <c r="A207" t="s">
        <v>85</v>
      </c>
      <c r="B207" s="9">
        <v>46140</v>
      </c>
      <c r="C207">
        <v>0</v>
      </c>
      <c r="D207" t="s">
        <v>84</v>
      </c>
      <c r="E207">
        <v>2103</v>
      </c>
      <c r="F207">
        <v>2103</v>
      </c>
      <c r="G207"/>
      <c r="H207"/>
      <c r="J207" t="s">
        <v>97</v>
      </c>
      <c r="K207" t="s">
        <v>98</v>
      </c>
      <c r="L207" t="s">
        <v>664</v>
      </c>
      <c r="M207" t="s">
        <v>86</v>
      </c>
      <c r="N207" t="s">
        <v>665</v>
      </c>
      <c r="O207" t="s">
        <v>87</v>
      </c>
      <c r="P207" t="s">
        <v>102</v>
      </c>
      <c r="Q207" t="s">
        <v>103</v>
      </c>
      <c r="R207">
        <v>2025</v>
      </c>
      <c r="S207">
        <v>2026</v>
      </c>
      <c r="T207" t="s">
        <v>101</v>
      </c>
      <c r="U207">
        <v>85</v>
      </c>
      <c r="V207">
        <v>133248</v>
      </c>
      <c r="W207">
        <v>139.63</v>
      </c>
      <c r="X207">
        <v>587.41999999999996</v>
      </c>
      <c r="Y207">
        <v>0</v>
      </c>
      <c r="Z207">
        <v>59.84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19987.2</v>
      </c>
      <c r="AG207">
        <v>2220000</v>
      </c>
      <c r="AH207">
        <v>1000000</v>
      </c>
      <c r="AI207">
        <v>200000</v>
      </c>
      <c r="AJ207">
        <v>1000000</v>
      </c>
      <c r="AK207">
        <v>10000</v>
      </c>
      <c r="AL207">
        <v>10000</v>
      </c>
      <c r="AM207" s="42">
        <v>46113</v>
      </c>
      <c r="AN207" s="42">
        <v>46447</v>
      </c>
      <c r="AO207">
        <v>0</v>
      </c>
      <c r="AP207">
        <v>0</v>
      </c>
      <c r="AQ207">
        <v>0</v>
      </c>
      <c r="AR207" s="8">
        <f t="shared" si="7"/>
        <v>2194.17</v>
      </c>
      <c r="AS207" s="38">
        <f t="shared" si="6"/>
        <v>1649.2698221999999</v>
      </c>
      <c r="AT207" s="39" t="s">
        <v>121</v>
      </c>
      <c r="AU207" s="40">
        <f>VLOOKUP(N207,'Apólice Endosso'!D:XFD,23,0)</f>
        <v>0</v>
      </c>
      <c r="AV207" s="39" t="str">
        <f>VLOOKUP(N207,'Apólice Endosso'!D:XFD,28,0)</f>
        <v>Padrão (100%) sem blindagem - 1M - Contrato 2025</v>
      </c>
      <c r="AW207" s="41" t="str">
        <f>IF(VLOOKUP(N207,'Apólice Endosso'!D:XFD,47,0)=0,"",VLOOKUP(N207,'Apólice Endosso'!D:XFD,47,0))</f>
        <v/>
      </c>
      <c r="AX207" s="40">
        <f>VLOOKUP(N207,'Apólice Endosso'!D:XFD,30,0)</f>
        <v>7049</v>
      </c>
      <c r="AY207" s="36">
        <v>1673.5924660000003</v>
      </c>
      <c r="AZ207" s="16">
        <v>7049</v>
      </c>
      <c r="BA207" s="16"/>
    </row>
    <row r="208" spans="1:53" x14ac:dyDescent="0.3">
      <c r="A208" t="s">
        <v>85</v>
      </c>
      <c r="B208" s="9">
        <v>46140</v>
      </c>
      <c r="C208">
        <v>0</v>
      </c>
      <c r="D208" t="s">
        <v>84</v>
      </c>
      <c r="E208">
        <v>2103</v>
      </c>
      <c r="F208">
        <v>2103</v>
      </c>
      <c r="G208"/>
      <c r="H208"/>
      <c r="J208" t="s">
        <v>97</v>
      </c>
      <c r="K208" t="s">
        <v>98</v>
      </c>
      <c r="L208" t="s">
        <v>666</v>
      </c>
      <c r="M208" t="s">
        <v>86</v>
      </c>
      <c r="N208" t="s">
        <v>667</v>
      </c>
      <c r="O208" t="s">
        <v>87</v>
      </c>
      <c r="P208" t="s">
        <v>102</v>
      </c>
      <c r="Q208" t="s">
        <v>103</v>
      </c>
      <c r="R208">
        <v>2025</v>
      </c>
      <c r="S208">
        <v>2026</v>
      </c>
      <c r="T208" t="s">
        <v>101</v>
      </c>
      <c r="U208">
        <v>85</v>
      </c>
      <c r="V208">
        <v>133248</v>
      </c>
      <c r="W208">
        <v>139.63</v>
      </c>
      <c r="X208">
        <v>587.41999999999996</v>
      </c>
      <c r="Y208">
        <v>0</v>
      </c>
      <c r="Z208">
        <v>59.84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19987.2</v>
      </c>
      <c r="AG208">
        <v>2220000</v>
      </c>
      <c r="AH208">
        <v>1000000</v>
      </c>
      <c r="AI208">
        <v>200000</v>
      </c>
      <c r="AJ208">
        <v>1000000</v>
      </c>
      <c r="AK208">
        <v>10000</v>
      </c>
      <c r="AL208">
        <v>10000</v>
      </c>
      <c r="AM208" s="42">
        <v>46113</v>
      </c>
      <c r="AN208" s="42">
        <v>46447</v>
      </c>
      <c r="AO208">
        <v>0</v>
      </c>
      <c r="AP208">
        <v>0</v>
      </c>
      <c r="AQ208">
        <v>0</v>
      </c>
      <c r="AR208" s="8">
        <f t="shared" si="7"/>
        <v>2194.17</v>
      </c>
      <c r="AS208" s="38">
        <f t="shared" si="6"/>
        <v>1649.2698221999999</v>
      </c>
      <c r="AT208" s="39" t="s">
        <v>121</v>
      </c>
      <c r="AU208" s="40">
        <f>VLOOKUP(N208,'Apólice Endosso'!D:XFD,23,0)</f>
        <v>0</v>
      </c>
      <c r="AV208" s="39" t="str">
        <f>VLOOKUP(N208,'Apólice Endosso'!D:XFD,28,0)</f>
        <v>Padrão (100%) sem blindagem - 1M - Contrato 2025</v>
      </c>
      <c r="AW208" s="41" t="str">
        <f>IF(VLOOKUP(N208,'Apólice Endosso'!D:XFD,47,0)=0,"",VLOOKUP(N208,'Apólice Endosso'!D:XFD,47,0))</f>
        <v/>
      </c>
      <c r="AX208" s="40">
        <f>VLOOKUP(N208,'Apólice Endosso'!D:XFD,30,0)</f>
        <v>7049</v>
      </c>
      <c r="AY208" s="36">
        <v>1673.5924660000003</v>
      </c>
      <c r="AZ208" s="16">
        <v>7049</v>
      </c>
      <c r="BA208" s="16"/>
    </row>
    <row r="209" spans="1:53" x14ac:dyDescent="0.3">
      <c r="A209" t="s">
        <v>85</v>
      </c>
      <c r="B209" s="9">
        <v>46140</v>
      </c>
      <c r="C209">
        <v>0</v>
      </c>
      <c r="D209" t="s">
        <v>84</v>
      </c>
      <c r="E209">
        <v>2103</v>
      </c>
      <c r="F209">
        <v>2103</v>
      </c>
      <c r="G209"/>
      <c r="H209"/>
      <c r="J209" t="s">
        <v>97</v>
      </c>
      <c r="K209" t="s">
        <v>98</v>
      </c>
      <c r="L209" t="s">
        <v>668</v>
      </c>
      <c r="M209" t="s">
        <v>86</v>
      </c>
      <c r="N209" t="s">
        <v>669</v>
      </c>
      <c r="O209" t="s">
        <v>87</v>
      </c>
      <c r="P209" t="s">
        <v>102</v>
      </c>
      <c r="Q209" t="s">
        <v>103</v>
      </c>
      <c r="R209">
        <v>2025</v>
      </c>
      <c r="S209">
        <v>2026</v>
      </c>
      <c r="T209" t="s">
        <v>101</v>
      </c>
      <c r="U209">
        <v>85</v>
      </c>
      <c r="V209">
        <v>133248</v>
      </c>
      <c r="W209">
        <v>139.63</v>
      </c>
      <c r="X209">
        <v>587.41999999999996</v>
      </c>
      <c r="Y209">
        <v>0</v>
      </c>
      <c r="Z209">
        <v>59.84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19987.2</v>
      </c>
      <c r="AG209">
        <v>2220000</v>
      </c>
      <c r="AH209">
        <v>1000000</v>
      </c>
      <c r="AI209">
        <v>200000</v>
      </c>
      <c r="AJ209">
        <v>1000000</v>
      </c>
      <c r="AK209">
        <v>10000</v>
      </c>
      <c r="AL209">
        <v>10000</v>
      </c>
      <c r="AM209" s="42">
        <v>46113</v>
      </c>
      <c r="AN209" s="42">
        <v>46447</v>
      </c>
      <c r="AO209">
        <v>0</v>
      </c>
      <c r="AP209">
        <v>0</v>
      </c>
      <c r="AQ209">
        <v>0</v>
      </c>
      <c r="AR209" s="8">
        <f t="shared" si="7"/>
        <v>2194.17</v>
      </c>
      <c r="AS209" s="38">
        <f t="shared" si="6"/>
        <v>1649.2698221999999</v>
      </c>
      <c r="AT209" s="39" t="s">
        <v>121</v>
      </c>
      <c r="AU209" s="40">
        <f>VLOOKUP(N209,'Apólice Endosso'!D:XFD,23,0)</f>
        <v>0</v>
      </c>
      <c r="AV209" s="39" t="str">
        <f>VLOOKUP(N209,'Apólice Endosso'!D:XFD,28,0)</f>
        <v>Padrão (100%) sem blindagem - 1M - Contrato 2025</v>
      </c>
      <c r="AW209" s="41" t="str">
        <f>IF(VLOOKUP(N209,'Apólice Endosso'!D:XFD,47,0)=0,"",VLOOKUP(N209,'Apólice Endosso'!D:XFD,47,0))</f>
        <v/>
      </c>
      <c r="AX209" s="40">
        <f>VLOOKUP(N209,'Apólice Endosso'!D:XFD,30,0)</f>
        <v>7049</v>
      </c>
      <c r="AY209" s="36">
        <v>1673.5924660000003</v>
      </c>
      <c r="AZ209" s="16">
        <v>7049</v>
      </c>
      <c r="BA209" s="16"/>
    </row>
    <row r="210" spans="1:53" x14ac:dyDescent="0.3">
      <c r="A210" t="s">
        <v>85</v>
      </c>
      <c r="B210" s="9">
        <v>46140</v>
      </c>
      <c r="C210">
        <v>0</v>
      </c>
      <c r="D210" t="s">
        <v>84</v>
      </c>
      <c r="E210">
        <v>2103</v>
      </c>
      <c r="F210">
        <v>2103</v>
      </c>
      <c r="G210"/>
      <c r="H210"/>
      <c r="J210" t="s">
        <v>97</v>
      </c>
      <c r="K210" t="s">
        <v>98</v>
      </c>
      <c r="L210" t="s">
        <v>670</v>
      </c>
      <c r="M210" t="s">
        <v>86</v>
      </c>
      <c r="N210" t="s">
        <v>671</v>
      </c>
      <c r="O210" t="s">
        <v>87</v>
      </c>
      <c r="P210" t="s">
        <v>102</v>
      </c>
      <c r="Q210" t="s">
        <v>103</v>
      </c>
      <c r="R210">
        <v>2025</v>
      </c>
      <c r="S210">
        <v>2026</v>
      </c>
      <c r="T210" t="s">
        <v>101</v>
      </c>
      <c r="U210">
        <v>85</v>
      </c>
      <c r="V210">
        <v>133248</v>
      </c>
      <c r="W210">
        <v>139.63</v>
      </c>
      <c r="X210">
        <v>587.41999999999996</v>
      </c>
      <c r="Y210">
        <v>0</v>
      </c>
      <c r="Z210">
        <v>59.84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19987.2</v>
      </c>
      <c r="AG210">
        <v>2220000</v>
      </c>
      <c r="AH210">
        <v>1000000</v>
      </c>
      <c r="AI210">
        <v>200000</v>
      </c>
      <c r="AJ210">
        <v>1000000</v>
      </c>
      <c r="AK210">
        <v>10000</v>
      </c>
      <c r="AL210">
        <v>10000</v>
      </c>
      <c r="AM210" s="42">
        <v>46113</v>
      </c>
      <c r="AN210" s="42">
        <v>46447</v>
      </c>
      <c r="AO210">
        <v>0</v>
      </c>
      <c r="AP210">
        <v>0</v>
      </c>
      <c r="AQ210">
        <v>0</v>
      </c>
      <c r="AR210" s="8">
        <f t="shared" si="7"/>
        <v>2194.17</v>
      </c>
      <c r="AS210" s="38">
        <f t="shared" si="6"/>
        <v>1649.2698221999999</v>
      </c>
      <c r="AT210" s="39" t="s">
        <v>121</v>
      </c>
      <c r="AU210" s="40">
        <f>VLOOKUP(N210,'Apólice Endosso'!D:XFD,23,0)</f>
        <v>0</v>
      </c>
      <c r="AV210" s="39" t="str">
        <f>VLOOKUP(N210,'Apólice Endosso'!D:XFD,28,0)</f>
        <v>Padrão (100%) sem blindagem - 1M - Contrato 2025</v>
      </c>
      <c r="AW210" s="41" t="str">
        <f>IF(VLOOKUP(N210,'Apólice Endosso'!D:XFD,47,0)=0,"",VLOOKUP(N210,'Apólice Endosso'!D:XFD,47,0))</f>
        <v/>
      </c>
      <c r="AX210" s="40">
        <f>VLOOKUP(N210,'Apólice Endosso'!D:XFD,30,0)</f>
        <v>7049</v>
      </c>
      <c r="AY210" s="36">
        <v>1673.5924660000003</v>
      </c>
      <c r="AZ210" s="16">
        <v>7049</v>
      </c>
      <c r="BA210" s="16"/>
    </row>
    <row r="211" spans="1:53" x14ac:dyDescent="0.3">
      <c r="A211" t="s">
        <v>85</v>
      </c>
      <c r="B211" s="9">
        <v>46140</v>
      </c>
      <c r="C211">
        <v>0</v>
      </c>
      <c r="D211" t="s">
        <v>84</v>
      </c>
      <c r="E211">
        <v>2103</v>
      </c>
      <c r="F211">
        <v>2103</v>
      </c>
      <c r="G211"/>
      <c r="H211"/>
      <c r="J211" t="s">
        <v>97</v>
      </c>
      <c r="K211" t="s">
        <v>98</v>
      </c>
      <c r="L211" t="s">
        <v>672</v>
      </c>
      <c r="M211" t="s">
        <v>86</v>
      </c>
      <c r="N211" t="s">
        <v>673</v>
      </c>
      <c r="O211" t="s">
        <v>87</v>
      </c>
      <c r="P211" t="s">
        <v>102</v>
      </c>
      <c r="Q211" t="s">
        <v>103</v>
      </c>
      <c r="R211">
        <v>2025</v>
      </c>
      <c r="S211">
        <v>2026</v>
      </c>
      <c r="T211" t="s">
        <v>101</v>
      </c>
      <c r="U211">
        <v>85</v>
      </c>
      <c r="V211">
        <v>133248</v>
      </c>
      <c r="W211">
        <v>139.63</v>
      </c>
      <c r="X211">
        <v>587.41999999999996</v>
      </c>
      <c r="Y211">
        <v>0</v>
      </c>
      <c r="Z211">
        <v>59.84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19987.2</v>
      </c>
      <c r="AG211">
        <v>2220000</v>
      </c>
      <c r="AH211">
        <v>1000000</v>
      </c>
      <c r="AI211">
        <v>200000</v>
      </c>
      <c r="AJ211">
        <v>1000000</v>
      </c>
      <c r="AK211">
        <v>10000</v>
      </c>
      <c r="AL211">
        <v>10000</v>
      </c>
      <c r="AM211" s="42">
        <v>46113</v>
      </c>
      <c r="AN211" s="42">
        <v>46447</v>
      </c>
      <c r="AO211">
        <v>0</v>
      </c>
      <c r="AP211">
        <v>0</v>
      </c>
      <c r="AQ211">
        <v>0</v>
      </c>
      <c r="AR211" s="8">
        <f t="shared" si="7"/>
        <v>2194.17</v>
      </c>
      <c r="AS211" s="38">
        <f t="shared" si="6"/>
        <v>1649.2698221999999</v>
      </c>
      <c r="AT211" s="39" t="s">
        <v>121</v>
      </c>
      <c r="AU211" s="40">
        <f>VLOOKUP(N211,'Apólice Endosso'!D:XFD,23,0)</f>
        <v>0</v>
      </c>
      <c r="AV211" s="39" t="str">
        <f>VLOOKUP(N211,'Apólice Endosso'!D:XFD,28,0)</f>
        <v>Padrão (100%) sem blindagem - 1M - Contrato 2025</v>
      </c>
      <c r="AW211" s="41" t="str">
        <f>IF(VLOOKUP(N211,'Apólice Endosso'!D:XFD,47,0)=0,"",VLOOKUP(N211,'Apólice Endosso'!D:XFD,47,0))</f>
        <v/>
      </c>
      <c r="AX211" s="40">
        <f>VLOOKUP(N211,'Apólice Endosso'!D:XFD,30,0)</f>
        <v>7049</v>
      </c>
      <c r="AY211" s="36">
        <v>1673.5924660000003</v>
      </c>
      <c r="AZ211" s="16">
        <v>7049</v>
      </c>
      <c r="BA211" s="16"/>
    </row>
    <row r="212" spans="1:53" x14ac:dyDescent="0.3">
      <c r="A212" t="s">
        <v>85</v>
      </c>
      <c r="B212" s="9">
        <v>46140</v>
      </c>
      <c r="C212">
        <v>0</v>
      </c>
      <c r="D212" t="s">
        <v>84</v>
      </c>
      <c r="E212">
        <v>2103</v>
      </c>
      <c r="F212">
        <v>2103</v>
      </c>
      <c r="G212"/>
      <c r="H212"/>
      <c r="J212" t="s">
        <v>97</v>
      </c>
      <c r="K212" t="s">
        <v>98</v>
      </c>
      <c r="L212" t="s">
        <v>674</v>
      </c>
      <c r="M212" t="s">
        <v>86</v>
      </c>
      <c r="N212" t="s">
        <v>675</v>
      </c>
      <c r="O212" t="s">
        <v>87</v>
      </c>
      <c r="P212" t="s">
        <v>102</v>
      </c>
      <c r="Q212" t="s">
        <v>103</v>
      </c>
      <c r="R212">
        <v>2025</v>
      </c>
      <c r="S212">
        <v>2026</v>
      </c>
      <c r="T212" t="s">
        <v>101</v>
      </c>
      <c r="U212">
        <v>85</v>
      </c>
      <c r="V212">
        <v>133248</v>
      </c>
      <c r="W212">
        <v>139.63</v>
      </c>
      <c r="X212">
        <v>587.41999999999996</v>
      </c>
      <c r="Y212">
        <v>0</v>
      </c>
      <c r="Z212">
        <v>59.84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19987.2</v>
      </c>
      <c r="AG212">
        <v>2220000</v>
      </c>
      <c r="AH212">
        <v>1000000</v>
      </c>
      <c r="AI212">
        <v>200000</v>
      </c>
      <c r="AJ212">
        <v>1000000</v>
      </c>
      <c r="AK212">
        <v>10000</v>
      </c>
      <c r="AL212">
        <v>10000</v>
      </c>
      <c r="AM212" s="42">
        <v>46113</v>
      </c>
      <c r="AN212" s="42">
        <v>46447</v>
      </c>
      <c r="AO212">
        <v>0</v>
      </c>
      <c r="AP212">
        <v>0</v>
      </c>
      <c r="AQ212">
        <v>0</v>
      </c>
      <c r="AR212" s="8">
        <f t="shared" si="7"/>
        <v>2194.17</v>
      </c>
      <c r="AS212" s="38">
        <f t="shared" si="6"/>
        <v>1649.2698221999999</v>
      </c>
      <c r="AT212" s="39" t="s">
        <v>121</v>
      </c>
      <c r="AU212" s="40">
        <f>VLOOKUP(N212,'Apólice Endosso'!D:XFD,23,0)</f>
        <v>0</v>
      </c>
      <c r="AV212" s="39" t="str">
        <f>VLOOKUP(N212,'Apólice Endosso'!D:XFD,28,0)</f>
        <v>Padrão (100%) sem blindagem - 1M - Contrato 2025</v>
      </c>
      <c r="AW212" s="41" t="str">
        <f>IF(VLOOKUP(N212,'Apólice Endosso'!D:XFD,47,0)=0,"",VLOOKUP(N212,'Apólice Endosso'!D:XFD,47,0))</f>
        <v/>
      </c>
      <c r="AX212" s="40">
        <f>VLOOKUP(N212,'Apólice Endosso'!D:XFD,30,0)</f>
        <v>7049</v>
      </c>
      <c r="AY212" s="36">
        <v>1673.5924660000003</v>
      </c>
      <c r="AZ212" s="16">
        <v>7049</v>
      </c>
      <c r="BA212" s="16"/>
    </row>
    <row r="213" spans="1:53" x14ac:dyDescent="0.3">
      <c r="A213" t="s">
        <v>85</v>
      </c>
      <c r="B213" s="9">
        <v>46140</v>
      </c>
      <c r="C213">
        <v>0</v>
      </c>
      <c r="D213" t="s">
        <v>84</v>
      </c>
      <c r="E213">
        <v>2103</v>
      </c>
      <c r="F213">
        <v>2103</v>
      </c>
      <c r="G213"/>
      <c r="H213"/>
      <c r="J213" t="s">
        <v>97</v>
      </c>
      <c r="K213" t="s">
        <v>98</v>
      </c>
      <c r="L213" t="s">
        <v>676</v>
      </c>
      <c r="M213" t="s">
        <v>86</v>
      </c>
      <c r="N213" t="s">
        <v>677</v>
      </c>
      <c r="O213" t="s">
        <v>87</v>
      </c>
      <c r="P213" t="s">
        <v>102</v>
      </c>
      <c r="Q213" t="s">
        <v>103</v>
      </c>
      <c r="R213">
        <v>2025</v>
      </c>
      <c r="S213">
        <v>2026</v>
      </c>
      <c r="T213" t="s">
        <v>101</v>
      </c>
      <c r="U213">
        <v>85</v>
      </c>
      <c r="V213">
        <v>133248</v>
      </c>
      <c r="W213">
        <v>139.63</v>
      </c>
      <c r="X213">
        <v>587.41999999999996</v>
      </c>
      <c r="Y213">
        <v>0</v>
      </c>
      <c r="Z213">
        <v>59.84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19987.2</v>
      </c>
      <c r="AG213">
        <v>2220000</v>
      </c>
      <c r="AH213">
        <v>1000000</v>
      </c>
      <c r="AI213">
        <v>200000</v>
      </c>
      <c r="AJ213">
        <v>1000000</v>
      </c>
      <c r="AK213">
        <v>10000</v>
      </c>
      <c r="AL213">
        <v>10000</v>
      </c>
      <c r="AM213" s="42">
        <v>46113</v>
      </c>
      <c r="AN213" s="42">
        <v>46447</v>
      </c>
      <c r="AO213">
        <v>0</v>
      </c>
      <c r="AP213">
        <v>0</v>
      </c>
      <c r="AQ213">
        <v>0</v>
      </c>
      <c r="AR213" s="8">
        <f t="shared" si="7"/>
        <v>2194.17</v>
      </c>
      <c r="AS213" s="38">
        <f t="shared" si="6"/>
        <v>1649.2698221999999</v>
      </c>
      <c r="AT213" s="39" t="s">
        <v>121</v>
      </c>
      <c r="AU213" s="40">
        <f>VLOOKUP(N213,'Apólice Endosso'!D:XFD,23,0)</f>
        <v>0</v>
      </c>
      <c r="AV213" s="39" t="str">
        <f>VLOOKUP(N213,'Apólice Endosso'!D:XFD,28,0)</f>
        <v>Padrão (100%) sem blindagem - 1M - Contrato 2025</v>
      </c>
      <c r="AW213" s="41" t="str">
        <f>IF(VLOOKUP(N213,'Apólice Endosso'!D:XFD,47,0)=0,"",VLOOKUP(N213,'Apólice Endosso'!D:XFD,47,0))</f>
        <v/>
      </c>
      <c r="AX213" s="40">
        <f>VLOOKUP(N213,'Apólice Endosso'!D:XFD,30,0)</f>
        <v>7049</v>
      </c>
      <c r="AY213" s="36">
        <v>1673.5924660000003</v>
      </c>
      <c r="AZ213" s="16">
        <v>7049</v>
      </c>
      <c r="BA213" s="16"/>
    </row>
    <row r="214" spans="1:53" x14ac:dyDescent="0.3">
      <c r="A214" t="s">
        <v>85</v>
      </c>
      <c r="B214" s="9">
        <v>46140</v>
      </c>
      <c r="C214">
        <v>0</v>
      </c>
      <c r="D214" t="s">
        <v>84</v>
      </c>
      <c r="E214">
        <v>2103</v>
      </c>
      <c r="F214">
        <v>2103</v>
      </c>
      <c r="G214"/>
      <c r="H214"/>
      <c r="J214" t="s">
        <v>97</v>
      </c>
      <c r="K214" t="s">
        <v>98</v>
      </c>
      <c r="L214" t="s">
        <v>678</v>
      </c>
      <c r="M214" t="s">
        <v>86</v>
      </c>
      <c r="N214" t="s">
        <v>679</v>
      </c>
      <c r="O214" t="s">
        <v>87</v>
      </c>
      <c r="P214" t="s">
        <v>99</v>
      </c>
      <c r="Q214" t="s">
        <v>100</v>
      </c>
      <c r="R214">
        <v>2026</v>
      </c>
      <c r="S214">
        <v>2026</v>
      </c>
      <c r="T214" t="s">
        <v>101</v>
      </c>
      <c r="U214">
        <v>85</v>
      </c>
      <c r="V214">
        <v>133248</v>
      </c>
      <c r="W214">
        <v>139.63</v>
      </c>
      <c r="X214">
        <v>587.41999999999996</v>
      </c>
      <c r="Y214">
        <v>0</v>
      </c>
      <c r="Z214">
        <v>59.84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19987.2</v>
      </c>
      <c r="AG214">
        <v>2220000</v>
      </c>
      <c r="AH214">
        <v>1000000</v>
      </c>
      <c r="AI214">
        <v>200000</v>
      </c>
      <c r="AJ214">
        <v>1000000</v>
      </c>
      <c r="AK214">
        <v>10000</v>
      </c>
      <c r="AL214">
        <v>10000</v>
      </c>
      <c r="AM214" s="42">
        <v>46113</v>
      </c>
      <c r="AN214" s="42">
        <v>46447</v>
      </c>
      <c r="AO214">
        <v>0</v>
      </c>
      <c r="AP214">
        <v>0</v>
      </c>
      <c r="AQ214">
        <v>0</v>
      </c>
      <c r="AR214" s="8">
        <f t="shared" si="7"/>
        <v>2194.17</v>
      </c>
      <c r="AS214" s="38">
        <f t="shared" si="6"/>
        <v>1649.2698221999999</v>
      </c>
      <c r="AT214" s="39" t="s">
        <v>121</v>
      </c>
      <c r="AU214" s="40">
        <f>VLOOKUP(N214,'Apólice Endosso'!D:XFD,23,0)</f>
        <v>0</v>
      </c>
      <c r="AV214" s="39" t="str">
        <f>VLOOKUP(N214,'Apólice Endosso'!D:XFD,28,0)</f>
        <v>Padrão (100%) sem blindagem - 1M - Contrato 2025</v>
      </c>
      <c r="AW214" s="41" t="str">
        <f>IF(VLOOKUP(N214,'Apólice Endosso'!D:XFD,47,0)=0,"",VLOOKUP(N214,'Apólice Endosso'!D:XFD,47,0))</f>
        <v/>
      </c>
      <c r="AX214" s="40">
        <f>VLOOKUP(N214,'Apólice Endosso'!D:XFD,30,0)</f>
        <v>7049</v>
      </c>
      <c r="AY214" s="36">
        <v>1673.5924660000003</v>
      </c>
      <c r="AZ214" s="16">
        <v>7049</v>
      </c>
      <c r="BA214" s="16"/>
    </row>
    <row r="215" spans="1:53" x14ac:dyDescent="0.3">
      <c r="A215" t="s">
        <v>85</v>
      </c>
      <c r="B215" s="9">
        <v>46140</v>
      </c>
      <c r="C215">
        <v>0</v>
      </c>
      <c r="D215" t="s">
        <v>84</v>
      </c>
      <c r="E215">
        <v>2103</v>
      </c>
      <c r="F215">
        <v>2103</v>
      </c>
      <c r="G215"/>
      <c r="H215"/>
      <c r="J215" t="s">
        <v>97</v>
      </c>
      <c r="K215" t="s">
        <v>98</v>
      </c>
      <c r="L215" t="s">
        <v>680</v>
      </c>
      <c r="M215" t="s">
        <v>86</v>
      </c>
      <c r="N215" t="s">
        <v>681</v>
      </c>
      <c r="O215" t="s">
        <v>87</v>
      </c>
      <c r="P215" t="s">
        <v>99</v>
      </c>
      <c r="Q215" t="s">
        <v>100</v>
      </c>
      <c r="R215">
        <v>2026</v>
      </c>
      <c r="S215">
        <v>2026</v>
      </c>
      <c r="T215" t="s">
        <v>101</v>
      </c>
      <c r="U215">
        <v>85</v>
      </c>
      <c r="V215">
        <v>133248</v>
      </c>
      <c r="W215">
        <v>139.63</v>
      </c>
      <c r="X215">
        <v>587.41999999999996</v>
      </c>
      <c r="Y215">
        <v>0</v>
      </c>
      <c r="Z215">
        <v>59.84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19987.2</v>
      </c>
      <c r="AG215">
        <v>2220000</v>
      </c>
      <c r="AH215">
        <v>1000000</v>
      </c>
      <c r="AI215">
        <v>200000</v>
      </c>
      <c r="AJ215">
        <v>1000000</v>
      </c>
      <c r="AK215">
        <v>10000</v>
      </c>
      <c r="AL215">
        <v>10000</v>
      </c>
      <c r="AM215" s="42">
        <v>46113</v>
      </c>
      <c r="AN215" s="42">
        <v>46447</v>
      </c>
      <c r="AO215">
        <v>0</v>
      </c>
      <c r="AP215">
        <v>0</v>
      </c>
      <c r="AQ215">
        <v>0</v>
      </c>
      <c r="AR215" s="8">
        <f t="shared" si="7"/>
        <v>2194.17</v>
      </c>
      <c r="AS215" s="38">
        <f t="shared" ref="AS215:AS278" si="8">(AR215*70%)+((AR215*70%)*7.38%)</f>
        <v>1649.2698221999999</v>
      </c>
      <c r="AT215" s="39" t="s">
        <v>121</v>
      </c>
      <c r="AU215" s="40">
        <f>VLOOKUP(N215,'Apólice Endosso'!D:XFD,23,0)</f>
        <v>0</v>
      </c>
      <c r="AV215" s="39" t="str">
        <f>VLOOKUP(N215,'Apólice Endosso'!D:XFD,28,0)</f>
        <v>Padrão (100%) sem blindagem - 1M - Contrato 2025</v>
      </c>
      <c r="AW215" s="41" t="str">
        <f>IF(VLOOKUP(N215,'Apólice Endosso'!D:XFD,47,0)=0,"",VLOOKUP(N215,'Apólice Endosso'!D:XFD,47,0))</f>
        <v/>
      </c>
      <c r="AX215" s="40">
        <f>VLOOKUP(N215,'Apólice Endosso'!D:XFD,30,0)</f>
        <v>7049</v>
      </c>
      <c r="AY215" s="36">
        <v>1673.5924660000003</v>
      </c>
      <c r="AZ215" s="16">
        <v>7049</v>
      </c>
      <c r="BA215" s="16"/>
    </row>
    <row r="216" spans="1:53" x14ac:dyDescent="0.3">
      <c r="A216" t="s">
        <v>85</v>
      </c>
      <c r="B216" s="9">
        <v>46140</v>
      </c>
      <c r="C216">
        <v>0</v>
      </c>
      <c r="D216" t="s">
        <v>84</v>
      </c>
      <c r="E216">
        <v>2103</v>
      </c>
      <c r="F216">
        <v>2103</v>
      </c>
      <c r="G216"/>
      <c r="H216"/>
      <c r="J216" t="s">
        <v>97</v>
      </c>
      <c r="K216" t="s">
        <v>98</v>
      </c>
      <c r="L216" t="s">
        <v>682</v>
      </c>
      <c r="M216" t="s">
        <v>86</v>
      </c>
      <c r="N216" t="s">
        <v>683</v>
      </c>
      <c r="O216" t="s">
        <v>87</v>
      </c>
      <c r="P216" t="s">
        <v>99</v>
      </c>
      <c r="Q216" t="s">
        <v>100</v>
      </c>
      <c r="R216">
        <v>2026</v>
      </c>
      <c r="S216">
        <v>2026</v>
      </c>
      <c r="T216" t="s">
        <v>101</v>
      </c>
      <c r="U216">
        <v>85</v>
      </c>
      <c r="V216">
        <v>133248</v>
      </c>
      <c r="W216">
        <v>139.63</v>
      </c>
      <c r="X216">
        <v>587.41999999999996</v>
      </c>
      <c r="Y216">
        <v>0</v>
      </c>
      <c r="Z216">
        <v>59.84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19987.2</v>
      </c>
      <c r="AG216">
        <v>2220000</v>
      </c>
      <c r="AH216">
        <v>1000000</v>
      </c>
      <c r="AI216">
        <v>200000</v>
      </c>
      <c r="AJ216">
        <v>1000000</v>
      </c>
      <c r="AK216">
        <v>10000</v>
      </c>
      <c r="AL216">
        <v>10000</v>
      </c>
      <c r="AM216" s="42">
        <v>46113</v>
      </c>
      <c r="AN216" s="42">
        <v>46447</v>
      </c>
      <c r="AO216">
        <v>0</v>
      </c>
      <c r="AP216">
        <v>0</v>
      </c>
      <c r="AQ216">
        <v>0</v>
      </c>
      <c r="AR216" s="8">
        <f t="shared" si="7"/>
        <v>2194.17</v>
      </c>
      <c r="AS216" s="38">
        <f t="shared" si="8"/>
        <v>1649.2698221999999</v>
      </c>
      <c r="AT216" s="39" t="s">
        <v>121</v>
      </c>
      <c r="AU216" s="40">
        <f>VLOOKUP(N216,'Apólice Endosso'!D:XFD,23,0)</f>
        <v>0</v>
      </c>
      <c r="AV216" s="39" t="str">
        <f>VLOOKUP(N216,'Apólice Endosso'!D:XFD,28,0)</f>
        <v>Padrão (100%) sem blindagem - 1M - Contrato 2025</v>
      </c>
      <c r="AW216" s="41" t="str">
        <f>IF(VLOOKUP(N216,'Apólice Endosso'!D:XFD,47,0)=0,"",VLOOKUP(N216,'Apólice Endosso'!D:XFD,47,0))</f>
        <v/>
      </c>
      <c r="AX216" s="40">
        <f>VLOOKUP(N216,'Apólice Endosso'!D:XFD,30,0)</f>
        <v>7049</v>
      </c>
      <c r="AY216" s="36">
        <v>1673.5924660000003</v>
      </c>
      <c r="AZ216" s="16">
        <v>7049</v>
      </c>
      <c r="BA216" s="16"/>
    </row>
    <row r="217" spans="1:53" x14ac:dyDescent="0.3">
      <c r="A217" t="s">
        <v>85</v>
      </c>
      <c r="B217" s="9">
        <v>46140</v>
      </c>
      <c r="C217">
        <v>0</v>
      </c>
      <c r="D217" t="s">
        <v>84</v>
      </c>
      <c r="E217">
        <v>2103</v>
      </c>
      <c r="F217">
        <v>2103</v>
      </c>
      <c r="G217"/>
      <c r="H217"/>
      <c r="J217" t="s">
        <v>97</v>
      </c>
      <c r="K217" t="s">
        <v>98</v>
      </c>
      <c r="L217" t="s">
        <v>684</v>
      </c>
      <c r="M217" t="s">
        <v>86</v>
      </c>
      <c r="N217" t="s">
        <v>685</v>
      </c>
      <c r="O217" t="s">
        <v>87</v>
      </c>
      <c r="P217" t="s">
        <v>99</v>
      </c>
      <c r="Q217" t="s">
        <v>100</v>
      </c>
      <c r="R217">
        <v>2026</v>
      </c>
      <c r="S217">
        <v>2026</v>
      </c>
      <c r="T217" t="s">
        <v>101</v>
      </c>
      <c r="U217">
        <v>85</v>
      </c>
      <c r="V217">
        <v>133248</v>
      </c>
      <c r="W217">
        <v>139.63</v>
      </c>
      <c r="X217">
        <v>587.41999999999996</v>
      </c>
      <c r="Y217">
        <v>0</v>
      </c>
      <c r="Z217">
        <v>59.84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19987.2</v>
      </c>
      <c r="AG217">
        <v>2220000</v>
      </c>
      <c r="AH217">
        <v>1000000</v>
      </c>
      <c r="AI217">
        <v>200000</v>
      </c>
      <c r="AJ217">
        <v>1000000</v>
      </c>
      <c r="AK217">
        <v>10000</v>
      </c>
      <c r="AL217">
        <v>10000</v>
      </c>
      <c r="AM217" s="42">
        <v>46113</v>
      </c>
      <c r="AN217" s="42">
        <v>46447</v>
      </c>
      <c r="AO217">
        <v>0</v>
      </c>
      <c r="AP217">
        <v>0</v>
      </c>
      <c r="AQ217">
        <v>0</v>
      </c>
      <c r="AR217" s="8">
        <f t="shared" si="7"/>
        <v>2194.17</v>
      </c>
      <c r="AS217" s="38">
        <f t="shared" si="8"/>
        <v>1649.2698221999999</v>
      </c>
      <c r="AT217" s="39" t="s">
        <v>121</v>
      </c>
      <c r="AU217" s="40">
        <f>VLOOKUP(N217,'Apólice Endosso'!D:XFD,23,0)</f>
        <v>0</v>
      </c>
      <c r="AV217" s="39" t="str">
        <f>VLOOKUP(N217,'Apólice Endosso'!D:XFD,28,0)</f>
        <v>Padrão (100%) sem blindagem - 1M - Contrato 2025</v>
      </c>
      <c r="AW217" s="41" t="str">
        <f>IF(VLOOKUP(N217,'Apólice Endosso'!D:XFD,47,0)=0,"",VLOOKUP(N217,'Apólice Endosso'!D:XFD,47,0))</f>
        <v/>
      </c>
      <c r="AX217" s="40">
        <f>VLOOKUP(N217,'Apólice Endosso'!D:XFD,30,0)</f>
        <v>7049</v>
      </c>
      <c r="AY217" s="36">
        <v>1673.5924660000003</v>
      </c>
      <c r="AZ217" s="16">
        <v>7049</v>
      </c>
      <c r="BA217" s="16"/>
    </row>
    <row r="218" spans="1:53" x14ac:dyDescent="0.3">
      <c r="A218" t="s">
        <v>85</v>
      </c>
      <c r="B218" s="9">
        <v>46140</v>
      </c>
      <c r="C218">
        <v>0</v>
      </c>
      <c r="D218" t="s">
        <v>84</v>
      </c>
      <c r="E218">
        <v>2103</v>
      </c>
      <c r="F218">
        <v>2103</v>
      </c>
      <c r="G218"/>
      <c r="H218"/>
      <c r="J218" t="s">
        <v>97</v>
      </c>
      <c r="K218" t="s">
        <v>98</v>
      </c>
      <c r="L218" t="s">
        <v>686</v>
      </c>
      <c r="M218" t="s">
        <v>86</v>
      </c>
      <c r="N218" t="s">
        <v>687</v>
      </c>
      <c r="O218" t="s">
        <v>87</v>
      </c>
      <c r="P218" t="s">
        <v>99</v>
      </c>
      <c r="Q218" t="s">
        <v>100</v>
      </c>
      <c r="R218">
        <v>2026</v>
      </c>
      <c r="S218">
        <v>2026</v>
      </c>
      <c r="T218" t="s">
        <v>101</v>
      </c>
      <c r="U218">
        <v>85</v>
      </c>
      <c r="V218">
        <v>133248</v>
      </c>
      <c r="W218">
        <v>139.63</v>
      </c>
      <c r="X218">
        <v>587.41999999999996</v>
      </c>
      <c r="Y218">
        <v>0</v>
      </c>
      <c r="Z218">
        <v>59.84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19987.2</v>
      </c>
      <c r="AG218">
        <v>2220000</v>
      </c>
      <c r="AH218">
        <v>1000000</v>
      </c>
      <c r="AI218">
        <v>200000</v>
      </c>
      <c r="AJ218">
        <v>1000000</v>
      </c>
      <c r="AK218">
        <v>10000</v>
      </c>
      <c r="AL218">
        <v>10000</v>
      </c>
      <c r="AM218" s="42">
        <v>46113</v>
      </c>
      <c r="AN218" s="42">
        <v>46447</v>
      </c>
      <c r="AO218">
        <v>0</v>
      </c>
      <c r="AP218">
        <v>0</v>
      </c>
      <c r="AQ218">
        <v>0</v>
      </c>
      <c r="AR218" s="8">
        <f t="shared" si="7"/>
        <v>2194.17</v>
      </c>
      <c r="AS218" s="38">
        <f t="shared" si="8"/>
        <v>1649.2698221999999</v>
      </c>
      <c r="AT218" s="39" t="s">
        <v>121</v>
      </c>
      <c r="AU218" s="40">
        <f>VLOOKUP(N218,'Apólice Endosso'!D:XFD,23,0)</f>
        <v>0</v>
      </c>
      <c r="AV218" s="39" t="str">
        <f>VLOOKUP(N218,'Apólice Endosso'!D:XFD,28,0)</f>
        <v>Padrão (100%) sem blindagem - 1M - Contrato 2025</v>
      </c>
      <c r="AW218" s="41" t="str">
        <f>IF(VLOOKUP(N218,'Apólice Endosso'!D:XFD,47,0)=0,"",VLOOKUP(N218,'Apólice Endosso'!D:XFD,47,0))</f>
        <v/>
      </c>
      <c r="AX218" s="40">
        <f>VLOOKUP(N218,'Apólice Endosso'!D:XFD,30,0)</f>
        <v>7049</v>
      </c>
      <c r="AY218" s="36">
        <v>1673.5924660000003</v>
      </c>
      <c r="AZ218" s="16">
        <v>7049</v>
      </c>
      <c r="BA218" s="16"/>
    </row>
    <row r="219" spans="1:53" x14ac:dyDescent="0.3">
      <c r="A219" t="s">
        <v>85</v>
      </c>
      <c r="B219" s="9">
        <v>46140</v>
      </c>
      <c r="C219">
        <v>0</v>
      </c>
      <c r="D219" t="s">
        <v>84</v>
      </c>
      <c r="E219">
        <v>2103</v>
      </c>
      <c r="F219">
        <v>2103</v>
      </c>
      <c r="G219"/>
      <c r="H219"/>
      <c r="J219" t="s">
        <v>97</v>
      </c>
      <c r="K219" t="s">
        <v>98</v>
      </c>
      <c r="L219" t="s">
        <v>688</v>
      </c>
      <c r="M219" t="s">
        <v>86</v>
      </c>
      <c r="N219" t="s">
        <v>689</v>
      </c>
      <c r="O219" t="s">
        <v>87</v>
      </c>
      <c r="P219" t="s">
        <v>99</v>
      </c>
      <c r="Q219" t="s">
        <v>100</v>
      </c>
      <c r="R219">
        <v>2026</v>
      </c>
      <c r="S219">
        <v>2026</v>
      </c>
      <c r="T219" t="s">
        <v>101</v>
      </c>
      <c r="U219">
        <v>85</v>
      </c>
      <c r="V219">
        <v>133248</v>
      </c>
      <c r="W219">
        <v>139.63</v>
      </c>
      <c r="X219">
        <v>587.41999999999996</v>
      </c>
      <c r="Y219">
        <v>0</v>
      </c>
      <c r="Z219">
        <v>59.84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19987.2</v>
      </c>
      <c r="AG219">
        <v>2220000</v>
      </c>
      <c r="AH219">
        <v>1000000</v>
      </c>
      <c r="AI219">
        <v>200000</v>
      </c>
      <c r="AJ219">
        <v>1000000</v>
      </c>
      <c r="AK219">
        <v>10000</v>
      </c>
      <c r="AL219">
        <v>10000</v>
      </c>
      <c r="AM219" s="42">
        <v>46113</v>
      </c>
      <c r="AN219" s="42">
        <v>46447</v>
      </c>
      <c r="AO219">
        <v>0</v>
      </c>
      <c r="AP219">
        <v>0</v>
      </c>
      <c r="AQ219">
        <v>0</v>
      </c>
      <c r="AR219" s="8">
        <f t="shared" si="7"/>
        <v>2194.17</v>
      </c>
      <c r="AS219" s="38">
        <f t="shared" si="8"/>
        <v>1649.2698221999999</v>
      </c>
      <c r="AT219" s="39" t="s">
        <v>121</v>
      </c>
      <c r="AU219" s="40">
        <f>VLOOKUP(N219,'Apólice Endosso'!D:XFD,23,0)</f>
        <v>0</v>
      </c>
      <c r="AV219" s="39" t="str">
        <f>VLOOKUP(N219,'Apólice Endosso'!D:XFD,28,0)</f>
        <v>Padrão (100%) sem blindagem - 1M - Contrato 2025</v>
      </c>
      <c r="AW219" s="41" t="str">
        <f>IF(VLOOKUP(N219,'Apólice Endosso'!D:XFD,47,0)=0,"",VLOOKUP(N219,'Apólice Endosso'!D:XFD,47,0))</f>
        <v/>
      </c>
      <c r="AX219" s="40">
        <f>VLOOKUP(N219,'Apólice Endosso'!D:XFD,30,0)</f>
        <v>7049</v>
      </c>
      <c r="AY219" s="36">
        <v>1673.5924660000003</v>
      </c>
      <c r="AZ219" s="16">
        <v>7049</v>
      </c>
      <c r="BA219" s="16"/>
    </row>
    <row r="220" spans="1:53" x14ac:dyDescent="0.3">
      <c r="A220" t="s">
        <v>85</v>
      </c>
      <c r="B220" s="9">
        <v>46140</v>
      </c>
      <c r="C220">
        <v>0</v>
      </c>
      <c r="D220" t="s">
        <v>84</v>
      </c>
      <c r="E220">
        <v>2103</v>
      </c>
      <c r="F220">
        <v>2103</v>
      </c>
      <c r="G220"/>
      <c r="H220"/>
      <c r="J220" t="s">
        <v>97</v>
      </c>
      <c r="K220" t="s">
        <v>98</v>
      </c>
      <c r="L220" t="s">
        <v>690</v>
      </c>
      <c r="M220" t="s">
        <v>86</v>
      </c>
      <c r="N220" t="s">
        <v>691</v>
      </c>
      <c r="O220" t="s">
        <v>87</v>
      </c>
      <c r="P220" t="s">
        <v>99</v>
      </c>
      <c r="Q220" t="s">
        <v>100</v>
      </c>
      <c r="R220">
        <v>2026</v>
      </c>
      <c r="S220">
        <v>2026</v>
      </c>
      <c r="T220" t="s">
        <v>101</v>
      </c>
      <c r="U220">
        <v>85</v>
      </c>
      <c r="V220">
        <v>133248</v>
      </c>
      <c r="W220">
        <v>139.63</v>
      </c>
      <c r="X220">
        <v>587.41999999999996</v>
      </c>
      <c r="Y220">
        <v>0</v>
      </c>
      <c r="Z220">
        <v>59.84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19987.2</v>
      </c>
      <c r="AG220">
        <v>2220000</v>
      </c>
      <c r="AH220">
        <v>1000000</v>
      </c>
      <c r="AI220">
        <v>200000</v>
      </c>
      <c r="AJ220">
        <v>1000000</v>
      </c>
      <c r="AK220">
        <v>10000</v>
      </c>
      <c r="AL220">
        <v>10000</v>
      </c>
      <c r="AM220" s="42">
        <v>46113</v>
      </c>
      <c r="AN220" s="42">
        <v>46447</v>
      </c>
      <c r="AO220">
        <v>0</v>
      </c>
      <c r="AP220">
        <v>0</v>
      </c>
      <c r="AQ220">
        <v>0</v>
      </c>
      <c r="AR220" s="8">
        <f t="shared" si="7"/>
        <v>2194.17</v>
      </c>
      <c r="AS220" s="38">
        <f t="shared" si="8"/>
        <v>1649.2698221999999</v>
      </c>
      <c r="AT220" s="39" t="s">
        <v>121</v>
      </c>
      <c r="AU220" s="40">
        <f>VLOOKUP(N220,'Apólice Endosso'!D:XFD,23,0)</f>
        <v>0</v>
      </c>
      <c r="AV220" s="39" t="str">
        <f>VLOOKUP(N220,'Apólice Endosso'!D:XFD,28,0)</f>
        <v>Padrão (100%) sem blindagem - 1M - Contrato 2025</v>
      </c>
      <c r="AW220" s="41" t="str">
        <f>IF(VLOOKUP(N220,'Apólice Endosso'!D:XFD,47,0)=0,"",VLOOKUP(N220,'Apólice Endosso'!D:XFD,47,0))</f>
        <v/>
      </c>
      <c r="AX220" s="40">
        <f>VLOOKUP(N220,'Apólice Endosso'!D:XFD,30,0)</f>
        <v>7049</v>
      </c>
      <c r="AY220" s="36">
        <v>1673.5924660000003</v>
      </c>
      <c r="AZ220" s="16">
        <v>7049</v>
      </c>
      <c r="BA220" s="16"/>
    </row>
    <row r="221" spans="1:53" x14ac:dyDescent="0.3">
      <c r="A221" t="s">
        <v>85</v>
      </c>
      <c r="B221" s="9">
        <v>46140</v>
      </c>
      <c r="C221">
        <v>0</v>
      </c>
      <c r="D221" t="s">
        <v>84</v>
      </c>
      <c r="E221">
        <v>2103</v>
      </c>
      <c r="F221">
        <v>2103</v>
      </c>
      <c r="G221"/>
      <c r="H221"/>
      <c r="J221" t="s">
        <v>97</v>
      </c>
      <c r="K221" t="s">
        <v>98</v>
      </c>
      <c r="L221" t="s">
        <v>692</v>
      </c>
      <c r="M221" t="s">
        <v>86</v>
      </c>
      <c r="N221" t="s">
        <v>693</v>
      </c>
      <c r="O221" t="s">
        <v>87</v>
      </c>
      <c r="P221" t="s">
        <v>99</v>
      </c>
      <c r="Q221" t="s">
        <v>100</v>
      </c>
      <c r="R221">
        <v>2026</v>
      </c>
      <c r="S221">
        <v>2026</v>
      </c>
      <c r="T221" t="s">
        <v>101</v>
      </c>
      <c r="U221">
        <v>85</v>
      </c>
      <c r="V221">
        <v>133248</v>
      </c>
      <c r="W221">
        <v>139.63</v>
      </c>
      <c r="X221">
        <v>587.41999999999996</v>
      </c>
      <c r="Y221">
        <v>0</v>
      </c>
      <c r="Z221">
        <v>59.84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19987.2</v>
      </c>
      <c r="AG221">
        <v>2220000</v>
      </c>
      <c r="AH221">
        <v>1000000</v>
      </c>
      <c r="AI221">
        <v>200000</v>
      </c>
      <c r="AJ221">
        <v>1000000</v>
      </c>
      <c r="AK221">
        <v>10000</v>
      </c>
      <c r="AL221">
        <v>10000</v>
      </c>
      <c r="AM221" s="42">
        <v>46113</v>
      </c>
      <c r="AN221" s="42">
        <v>46447</v>
      </c>
      <c r="AO221">
        <v>0</v>
      </c>
      <c r="AP221">
        <v>0</v>
      </c>
      <c r="AQ221">
        <v>0</v>
      </c>
      <c r="AR221" s="8">
        <f t="shared" si="7"/>
        <v>2194.17</v>
      </c>
      <c r="AS221" s="38">
        <f t="shared" si="8"/>
        <v>1649.2698221999999</v>
      </c>
      <c r="AT221" s="39" t="s">
        <v>121</v>
      </c>
      <c r="AU221" s="40">
        <f>VLOOKUP(N221,'Apólice Endosso'!D:XFD,23,0)</f>
        <v>0</v>
      </c>
      <c r="AV221" s="39" t="str">
        <f>VLOOKUP(N221,'Apólice Endosso'!D:XFD,28,0)</f>
        <v>Padrão (100%) sem blindagem - 1M - Contrato 2025</v>
      </c>
      <c r="AW221" s="41" t="str">
        <f>IF(VLOOKUP(N221,'Apólice Endosso'!D:XFD,47,0)=0,"",VLOOKUP(N221,'Apólice Endosso'!D:XFD,47,0))</f>
        <v/>
      </c>
      <c r="AX221" s="40">
        <f>VLOOKUP(N221,'Apólice Endosso'!D:XFD,30,0)</f>
        <v>7049</v>
      </c>
      <c r="AY221" s="36">
        <v>1673.5924660000003</v>
      </c>
      <c r="AZ221" s="16">
        <v>7049</v>
      </c>
      <c r="BA221" s="16"/>
    </row>
    <row r="222" spans="1:53" x14ac:dyDescent="0.3">
      <c r="A222" t="s">
        <v>85</v>
      </c>
      <c r="B222" s="9">
        <v>46140</v>
      </c>
      <c r="C222">
        <v>0</v>
      </c>
      <c r="D222" t="s">
        <v>84</v>
      </c>
      <c r="E222">
        <v>2103</v>
      </c>
      <c r="F222">
        <v>2103</v>
      </c>
      <c r="G222"/>
      <c r="H222"/>
      <c r="J222" t="s">
        <v>97</v>
      </c>
      <c r="K222" t="s">
        <v>98</v>
      </c>
      <c r="L222" t="s">
        <v>694</v>
      </c>
      <c r="M222" t="s">
        <v>86</v>
      </c>
      <c r="N222" t="s">
        <v>695</v>
      </c>
      <c r="O222" t="s">
        <v>87</v>
      </c>
      <c r="P222" t="s">
        <v>99</v>
      </c>
      <c r="Q222" t="s">
        <v>100</v>
      </c>
      <c r="R222">
        <v>2026</v>
      </c>
      <c r="S222">
        <v>2026</v>
      </c>
      <c r="T222" t="s">
        <v>101</v>
      </c>
      <c r="U222">
        <v>85</v>
      </c>
      <c r="V222">
        <v>133248</v>
      </c>
      <c r="W222">
        <v>139.63</v>
      </c>
      <c r="X222">
        <v>587.41999999999996</v>
      </c>
      <c r="Y222">
        <v>0</v>
      </c>
      <c r="Z222">
        <v>59.84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19987.2</v>
      </c>
      <c r="AG222">
        <v>2220000</v>
      </c>
      <c r="AH222">
        <v>1000000</v>
      </c>
      <c r="AI222">
        <v>200000</v>
      </c>
      <c r="AJ222">
        <v>1000000</v>
      </c>
      <c r="AK222">
        <v>10000</v>
      </c>
      <c r="AL222">
        <v>10000</v>
      </c>
      <c r="AM222" s="42">
        <v>46113</v>
      </c>
      <c r="AN222" s="42">
        <v>46447</v>
      </c>
      <c r="AO222">
        <v>0</v>
      </c>
      <c r="AP222">
        <v>0</v>
      </c>
      <c r="AQ222">
        <v>0</v>
      </c>
      <c r="AR222" s="8">
        <f t="shared" si="7"/>
        <v>2194.17</v>
      </c>
      <c r="AS222" s="38">
        <f t="shared" si="8"/>
        <v>1649.2698221999999</v>
      </c>
      <c r="AT222" s="39" t="s">
        <v>121</v>
      </c>
      <c r="AU222" s="40">
        <f>VLOOKUP(N222,'Apólice Endosso'!D:XFD,23,0)</f>
        <v>0</v>
      </c>
      <c r="AV222" s="39" t="str">
        <f>VLOOKUP(N222,'Apólice Endosso'!D:XFD,28,0)</f>
        <v>Padrão (100%) sem blindagem - 1M - Contrato 2025</v>
      </c>
      <c r="AW222" s="41" t="str">
        <f>IF(VLOOKUP(N222,'Apólice Endosso'!D:XFD,47,0)=0,"",VLOOKUP(N222,'Apólice Endosso'!D:XFD,47,0))</f>
        <v/>
      </c>
      <c r="AX222" s="40">
        <f>VLOOKUP(N222,'Apólice Endosso'!D:XFD,30,0)</f>
        <v>7049</v>
      </c>
      <c r="AY222" s="36">
        <v>1673.5924660000003</v>
      </c>
      <c r="AZ222" s="16">
        <v>7049</v>
      </c>
      <c r="BA222" s="16"/>
    </row>
    <row r="223" spans="1:53" x14ac:dyDescent="0.3">
      <c r="A223" t="s">
        <v>85</v>
      </c>
      <c r="B223" s="9">
        <v>46140</v>
      </c>
      <c r="C223">
        <v>0</v>
      </c>
      <c r="D223" t="s">
        <v>84</v>
      </c>
      <c r="E223">
        <v>2103</v>
      </c>
      <c r="F223">
        <v>2103</v>
      </c>
      <c r="G223"/>
      <c r="H223"/>
      <c r="J223" t="s">
        <v>97</v>
      </c>
      <c r="K223" t="s">
        <v>98</v>
      </c>
      <c r="L223" t="s">
        <v>696</v>
      </c>
      <c r="M223" t="s">
        <v>86</v>
      </c>
      <c r="N223" t="s">
        <v>697</v>
      </c>
      <c r="O223" t="s">
        <v>87</v>
      </c>
      <c r="P223" t="s">
        <v>99</v>
      </c>
      <c r="Q223" t="s">
        <v>100</v>
      </c>
      <c r="R223">
        <v>2026</v>
      </c>
      <c r="S223">
        <v>2026</v>
      </c>
      <c r="T223" t="s">
        <v>101</v>
      </c>
      <c r="U223">
        <v>85</v>
      </c>
      <c r="V223">
        <v>133248</v>
      </c>
      <c r="W223">
        <v>139.63</v>
      </c>
      <c r="X223">
        <v>587.41999999999996</v>
      </c>
      <c r="Y223">
        <v>0</v>
      </c>
      <c r="Z223">
        <v>59.84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19987.2</v>
      </c>
      <c r="AG223">
        <v>2220000</v>
      </c>
      <c r="AH223">
        <v>1000000</v>
      </c>
      <c r="AI223">
        <v>200000</v>
      </c>
      <c r="AJ223">
        <v>1000000</v>
      </c>
      <c r="AK223">
        <v>10000</v>
      </c>
      <c r="AL223">
        <v>10000</v>
      </c>
      <c r="AM223" s="42">
        <v>46113</v>
      </c>
      <c r="AN223" s="42">
        <v>46447</v>
      </c>
      <c r="AO223">
        <v>0</v>
      </c>
      <c r="AP223">
        <v>0</v>
      </c>
      <c r="AQ223">
        <v>0</v>
      </c>
      <c r="AR223" s="8">
        <f t="shared" si="7"/>
        <v>2194.17</v>
      </c>
      <c r="AS223" s="38">
        <f t="shared" si="8"/>
        <v>1649.2698221999999</v>
      </c>
      <c r="AT223" s="39" t="s">
        <v>121</v>
      </c>
      <c r="AU223" s="40">
        <f>VLOOKUP(N223,'Apólice Endosso'!D:XFD,23,0)</f>
        <v>0</v>
      </c>
      <c r="AV223" s="39" t="str">
        <f>VLOOKUP(N223,'Apólice Endosso'!D:XFD,28,0)</f>
        <v>Padrão (100%) sem blindagem - 1M - Contrato 2025</v>
      </c>
      <c r="AW223" s="41" t="str">
        <f>IF(VLOOKUP(N223,'Apólice Endosso'!D:XFD,47,0)=0,"",VLOOKUP(N223,'Apólice Endosso'!D:XFD,47,0))</f>
        <v/>
      </c>
      <c r="AX223" s="40">
        <f>VLOOKUP(N223,'Apólice Endosso'!D:XFD,30,0)</f>
        <v>7049</v>
      </c>
      <c r="AY223" s="36">
        <v>1673.5924660000003</v>
      </c>
      <c r="AZ223" s="16">
        <v>7049</v>
      </c>
      <c r="BA223" s="16"/>
    </row>
    <row r="224" spans="1:53" x14ac:dyDescent="0.3">
      <c r="A224" t="s">
        <v>85</v>
      </c>
      <c r="B224" s="9">
        <v>46140</v>
      </c>
      <c r="C224">
        <v>0</v>
      </c>
      <c r="D224" t="s">
        <v>84</v>
      </c>
      <c r="E224">
        <v>2103</v>
      </c>
      <c r="F224">
        <v>2103</v>
      </c>
      <c r="G224"/>
      <c r="H224"/>
      <c r="J224" t="s">
        <v>97</v>
      </c>
      <c r="K224" t="s">
        <v>98</v>
      </c>
      <c r="L224" t="s">
        <v>698</v>
      </c>
      <c r="M224" t="s">
        <v>86</v>
      </c>
      <c r="N224" t="s">
        <v>699</v>
      </c>
      <c r="O224" t="s">
        <v>87</v>
      </c>
      <c r="P224" t="s">
        <v>99</v>
      </c>
      <c r="Q224" t="s">
        <v>100</v>
      </c>
      <c r="R224">
        <v>2026</v>
      </c>
      <c r="S224">
        <v>2026</v>
      </c>
      <c r="T224" t="s">
        <v>101</v>
      </c>
      <c r="U224">
        <v>85</v>
      </c>
      <c r="V224">
        <v>133248</v>
      </c>
      <c r="W224">
        <v>139.63</v>
      </c>
      <c r="X224">
        <v>587.41999999999996</v>
      </c>
      <c r="Y224">
        <v>0</v>
      </c>
      <c r="Z224">
        <v>59.84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19987.2</v>
      </c>
      <c r="AG224">
        <v>2220000</v>
      </c>
      <c r="AH224">
        <v>1000000</v>
      </c>
      <c r="AI224">
        <v>200000</v>
      </c>
      <c r="AJ224">
        <v>1000000</v>
      </c>
      <c r="AK224">
        <v>10000</v>
      </c>
      <c r="AL224">
        <v>10000</v>
      </c>
      <c r="AM224" s="42">
        <v>46113</v>
      </c>
      <c r="AN224" s="42">
        <v>46447</v>
      </c>
      <c r="AO224">
        <v>0</v>
      </c>
      <c r="AP224">
        <v>0</v>
      </c>
      <c r="AQ224">
        <v>0</v>
      </c>
      <c r="AR224" s="8">
        <f t="shared" si="7"/>
        <v>2194.17</v>
      </c>
      <c r="AS224" s="38">
        <f t="shared" si="8"/>
        <v>1649.2698221999999</v>
      </c>
      <c r="AT224" s="39" t="s">
        <v>121</v>
      </c>
      <c r="AU224" s="40">
        <f>VLOOKUP(N224,'Apólice Endosso'!D:XFD,23,0)</f>
        <v>0</v>
      </c>
      <c r="AV224" s="39" t="str">
        <f>VLOOKUP(N224,'Apólice Endosso'!D:XFD,28,0)</f>
        <v>Padrão (100%) sem blindagem - 1M - Contrato 2025</v>
      </c>
      <c r="AW224" s="41" t="str">
        <f>IF(VLOOKUP(N224,'Apólice Endosso'!D:XFD,47,0)=0,"",VLOOKUP(N224,'Apólice Endosso'!D:XFD,47,0))</f>
        <v/>
      </c>
      <c r="AX224" s="40">
        <f>VLOOKUP(N224,'Apólice Endosso'!D:XFD,30,0)</f>
        <v>7049</v>
      </c>
      <c r="AY224" s="36">
        <v>1673.5924660000003</v>
      </c>
      <c r="AZ224" s="16">
        <v>7049</v>
      </c>
      <c r="BA224" s="16"/>
    </row>
    <row r="225" spans="1:53" x14ac:dyDescent="0.3">
      <c r="A225" t="s">
        <v>85</v>
      </c>
      <c r="B225" s="9">
        <v>46140</v>
      </c>
      <c r="C225">
        <v>0</v>
      </c>
      <c r="D225" t="s">
        <v>84</v>
      </c>
      <c r="E225">
        <v>2103</v>
      </c>
      <c r="F225">
        <v>2103</v>
      </c>
      <c r="G225"/>
      <c r="H225"/>
      <c r="J225" t="s">
        <v>97</v>
      </c>
      <c r="K225" t="s">
        <v>98</v>
      </c>
      <c r="L225" t="s">
        <v>700</v>
      </c>
      <c r="M225" t="s">
        <v>86</v>
      </c>
      <c r="N225" t="s">
        <v>701</v>
      </c>
      <c r="O225" t="s">
        <v>87</v>
      </c>
      <c r="P225" t="s">
        <v>99</v>
      </c>
      <c r="Q225" t="s">
        <v>100</v>
      </c>
      <c r="R225">
        <v>2026</v>
      </c>
      <c r="S225">
        <v>2026</v>
      </c>
      <c r="T225" t="s">
        <v>101</v>
      </c>
      <c r="U225">
        <v>85</v>
      </c>
      <c r="V225">
        <v>133248</v>
      </c>
      <c r="W225">
        <v>139.63</v>
      </c>
      <c r="X225">
        <v>587.41999999999996</v>
      </c>
      <c r="Y225">
        <v>0</v>
      </c>
      <c r="Z225">
        <v>59.84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19987.2</v>
      </c>
      <c r="AG225">
        <v>2220000</v>
      </c>
      <c r="AH225">
        <v>1000000</v>
      </c>
      <c r="AI225">
        <v>200000</v>
      </c>
      <c r="AJ225">
        <v>1000000</v>
      </c>
      <c r="AK225">
        <v>10000</v>
      </c>
      <c r="AL225">
        <v>10000</v>
      </c>
      <c r="AM225" s="42">
        <v>46113</v>
      </c>
      <c r="AN225" s="42">
        <v>46447</v>
      </c>
      <c r="AO225">
        <v>0</v>
      </c>
      <c r="AP225">
        <v>0</v>
      </c>
      <c r="AQ225">
        <v>0</v>
      </c>
      <c r="AR225" s="8">
        <f t="shared" si="7"/>
        <v>2194.17</v>
      </c>
      <c r="AS225" s="38">
        <f t="shared" si="8"/>
        <v>1649.2698221999999</v>
      </c>
      <c r="AT225" s="39" t="s">
        <v>121</v>
      </c>
      <c r="AU225" s="40">
        <f>VLOOKUP(N225,'Apólice Endosso'!D:XFD,23,0)</f>
        <v>0</v>
      </c>
      <c r="AV225" s="39" t="str">
        <f>VLOOKUP(N225,'Apólice Endosso'!D:XFD,28,0)</f>
        <v>Padrão (100%) sem blindagem - 1M - Contrato 2025</v>
      </c>
      <c r="AW225" s="41" t="str">
        <f>IF(VLOOKUP(N225,'Apólice Endosso'!D:XFD,47,0)=0,"",VLOOKUP(N225,'Apólice Endosso'!D:XFD,47,0))</f>
        <v/>
      </c>
      <c r="AX225" s="40">
        <f>VLOOKUP(N225,'Apólice Endosso'!D:XFD,30,0)</f>
        <v>7049</v>
      </c>
      <c r="AY225" s="36">
        <v>1673.5924660000003</v>
      </c>
      <c r="AZ225" s="16">
        <v>7049</v>
      </c>
      <c r="BA225" s="16"/>
    </row>
    <row r="226" spans="1:53" x14ac:dyDescent="0.3">
      <c r="A226" t="s">
        <v>85</v>
      </c>
      <c r="B226" s="9">
        <v>46140</v>
      </c>
      <c r="C226">
        <v>0</v>
      </c>
      <c r="D226" t="s">
        <v>84</v>
      </c>
      <c r="E226">
        <v>2103</v>
      </c>
      <c r="F226">
        <v>2103</v>
      </c>
      <c r="G226"/>
      <c r="H226"/>
      <c r="J226" t="s">
        <v>97</v>
      </c>
      <c r="K226" t="s">
        <v>98</v>
      </c>
      <c r="L226" t="s">
        <v>702</v>
      </c>
      <c r="M226" t="s">
        <v>86</v>
      </c>
      <c r="N226" t="s">
        <v>703</v>
      </c>
      <c r="O226" t="s">
        <v>87</v>
      </c>
      <c r="P226" t="s">
        <v>99</v>
      </c>
      <c r="Q226" t="s">
        <v>100</v>
      </c>
      <c r="R226">
        <v>2026</v>
      </c>
      <c r="S226">
        <v>2026</v>
      </c>
      <c r="T226" t="s">
        <v>101</v>
      </c>
      <c r="U226">
        <v>85</v>
      </c>
      <c r="V226">
        <v>133248</v>
      </c>
      <c r="W226">
        <v>139.63</v>
      </c>
      <c r="X226">
        <v>587.41999999999996</v>
      </c>
      <c r="Y226">
        <v>0</v>
      </c>
      <c r="Z226">
        <v>59.84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19987.2</v>
      </c>
      <c r="AG226">
        <v>2220000</v>
      </c>
      <c r="AH226">
        <v>1000000</v>
      </c>
      <c r="AI226">
        <v>200000</v>
      </c>
      <c r="AJ226">
        <v>1000000</v>
      </c>
      <c r="AK226">
        <v>10000</v>
      </c>
      <c r="AL226">
        <v>10000</v>
      </c>
      <c r="AM226" s="42">
        <v>46113</v>
      </c>
      <c r="AN226" s="42">
        <v>46447</v>
      </c>
      <c r="AO226">
        <v>0</v>
      </c>
      <c r="AP226">
        <v>0</v>
      </c>
      <c r="AQ226">
        <v>0</v>
      </c>
      <c r="AR226" s="8">
        <f t="shared" si="7"/>
        <v>2194.17</v>
      </c>
      <c r="AS226" s="38">
        <f t="shared" si="8"/>
        <v>1649.2698221999999</v>
      </c>
      <c r="AT226" s="39" t="s">
        <v>121</v>
      </c>
      <c r="AU226" s="40">
        <f>VLOOKUP(N226,'Apólice Endosso'!D:XFD,23,0)</f>
        <v>0</v>
      </c>
      <c r="AV226" s="39" t="str">
        <f>VLOOKUP(N226,'Apólice Endosso'!D:XFD,28,0)</f>
        <v>Padrão (100%) sem blindagem - 1M - Contrato 2025</v>
      </c>
      <c r="AW226" s="41" t="str">
        <f>IF(VLOOKUP(N226,'Apólice Endosso'!D:XFD,47,0)=0,"",VLOOKUP(N226,'Apólice Endosso'!D:XFD,47,0))</f>
        <v/>
      </c>
      <c r="AX226" s="40">
        <f>VLOOKUP(N226,'Apólice Endosso'!D:XFD,30,0)</f>
        <v>7049</v>
      </c>
      <c r="AY226" s="36">
        <v>1673.5924660000003</v>
      </c>
      <c r="AZ226" s="16">
        <v>7049</v>
      </c>
      <c r="BA226" s="16"/>
    </row>
    <row r="227" spans="1:53" x14ac:dyDescent="0.3">
      <c r="A227" t="s">
        <v>85</v>
      </c>
      <c r="B227" s="9">
        <v>46140</v>
      </c>
      <c r="C227">
        <v>0</v>
      </c>
      <c r="D227" t="s">
        <v>84</v>
      </c>
      <c r="E227">
        <v>2103</v>
      </c>
      <c r="F227">
        <v>2103</v>
      </c>
      <c r="G227"/>
      <c r="H227"/>
      <c r="J227" t="s">
        <v>97</v>
      </c>
      <c r="K227" t="s">
        <v>98</v>
      </c>
      <c r="L227" t="s">
        <v>704</v>
      </c>
      <c r="M227" t="s">
        <v>86</v>
      </c>
      <c r="N227" t="s">
        <v>705</v>
      </c>
      <c r="O227" t="s">
        <v>87</v>
      </c>
      <c r="P227" t="s">
        <v>99</v>
      </c>
      <c r="Q227" t="s">
        <v>100</v>
      </c>
      <c r="R227">
        <v>2026</v>
      </c>
      <c r="S227">
        <v>2026</v>
      </c>
      <c r="T227" t="s">
        <v>101</v>
      </c>
      <c r="U227">
        <v>85</v>
      </c>
      <c r="V227">
        <v>133248</v>
      </c>
      <c r="W227">
        <v>139.63</v>
      </c>
      <c r="X227">
        <v>587.41999999999996</v>
      </c>
      <c r="Y227">
        <v>0</v>
      </c>
      <c r="Z227">
        <v>59.84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19987.2</v>
      </c>
      <c r="AG227">
        <v>2220000</v>
      </c>
      <c r="AH227">
        <v>1000000</v>
      </c>
      <c r="AI227">
        <v>200000</v>
      </c>
      <c r="AJ227">
        <v>1000000</v>
      </c>
      <c r="AK227">
        <v>10000</v>
      </c>
      <c r="AL227">
        <v>10000</v>
      </c>
      <c r="AM227" s="42">
        <v>46113</v>
      </c>
      <c r="AN227" s="42">
        <v>46447</v>
      </c>
      <c r="AO227">
        <v>0</v>
      </c>
      <c r="AP227">
        <v>0</v>
      </c>
      <c r="AQ227">
        <v>0</v>
      </c>
      <c r="AR227" s="8">
        <f t="shared" si="7"/>
        <v>2194.17</v>
      </c>
      <c r="AS227" s="38">
        <f t="shared" si="8"/>
        <v>1649.2698221999999</v>
      </c>
      <c r="AT227" s="39" t="s">
        <v>121</v>
      </c>
      <c r="AU227" s="40">
        <f>VLOOKUP(N227,'Apólice Endosso'!D:XFD,23,0)</f>
        <v>0</v>
      </c>
      <c r="AV227" s="39" t="str">
        <f>VLOOKUP(N227,'Apólice Endosso'!D:XFD,28,0)</f>
        <v>Padrão (100%) sem blindagem - 1M - Contrato 2025</v>
      </c>
      <c r="AX227" s="40">
        <f>VLOOKUP(N227,'Apólice Endosso'!D:XFD,30,0)</f>
        <v>7049</v>
      </c>
      <c r="AY227" s="36">
        <v>1673.5924660000003</v>
      </c>
      <c r="AZ227" s="16">
        <v>7049</v>
      </c>
      <c r="BA227" s="16"/>
    </row>
    <row r="228" spans="1:53" x14ac:dyDescent="0.3">
      <c r="A228" t="s">
        <v>85</v>
      </c>
      <c r="B228" s="9">
        <v>46140</v>
      </c>
      <c r="C228">
        <v>0</v>
      </c>
      <c r="D228" t="s">
        <v>84</v>
      </c>
      <c r="E228">
        <v>2103</v>
      </c>
      <c r="F228">
        <v>2103</v>
      </c>
      <c r="G228"/>
      <c r="H228"/>
      <c r="J228" t="s">
        <v>151</v>
      </c>
      <c r="K228" t="s">
        <v>152</v>
      </c>
      <c r="L228" t="s">
        <v>706</v>
      </c>
      <c r="M228" t="s">
        <v>86</v>
      </c>
      <c r="N228" t="s">
        <v>707</v>
      </c>
      <c r="O228" t="s">
        <v>87</v>
      </c>
      <c r="P228" t="s">
        <v>153</v>
      </c>
      <c r="Q228" t="s">
        <v>162</v>
      </c>
      <c r="R228">
        <v>2026</v>
      </c>
      <c r="S228">
        <v>2026</v>
      </c>
      <c r="T228" t="s">
        <v>156</v>
      </c>
      <c r="U228">
        <v>85</v>
      </c>
      <c r="V228">
        <v>97920</v>
      </c>
      <c r="W228">
        <v>163.68</v>
      </c>
      <c r="X228">
        <v>452.72</v>
      </c>
      <c r="Y228">
        <v>0</v>
      </c>
      <c r="Z228">
        <v>70.150000000000006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14688</v>
      </c>
      <c r="AG228">
        <v>320000</v>
      </c>
      <c r="AH228">
        <v>150000</v>
      </c>
      <c r="AI228">
        <v>0</v>
      </c>
      <c r="AJ228">
        <v>150000</v>
      </c>
      <c r="AK228">
        <v>10000</v>
      </c>
      <c r="AL228">
        <v>10000</v>
      </c>
      <c r="AM228" s="42">
        <v>46113</v>
      </c>
      <c r="AN228" s="42">
        <v>46447</v>
      </c>
      <c r="AO228">
        <v>0</v>
      </c>
      <c r="AP228">
        <v>0</v>
      </c>
      <c r="AQ228">
        <v>0</v>
      </c>
      <c r="AR228" s="8">
        <f t="shared" si="7"/>
        <v>2572.13</v>
      </c>
      <c r="AS228" s="38">
        <f t="shared" si="8"/>
        <v>1933.3672357999999</v>
      </c>
      <c r="AT228" s="39" t="s">
        <v>174</v>
      </c>
      <c r="AU228" s="40">
        <f>VLOOKUP(N228,'Apólice Endosso'!D:XFD,23,0)</f>
        <v>0</v>
      </c>
      <c r="AV228" s="39" t="str">
        <f>VLOOKUP(N228,'Apólice Endosso'!D:XFD,28,0)</f>
        <v>Padrão (100%) sem blindagem - 150k - Contrato 2025</v>
      </c>
      <c r="AX228" s="40">
        <f>VLOOKUP(N228,'Apólice Endosso'!D:XFD,30,0)</f>
        <v>5432.6</v>
      </c>
      <c r="AY228" s="36">
        <v>1933.5487079999998</v>
      </c>
      <c r="AZ228" s="16">
        <v>5432.6</v>
      </c>
      <c r="BA228" s="16"/>
    </row>
    <row r="229" spans="1:53" x14ac:dyDescent="0.3">
      <c r="A229" t="s">
        <v>85</v>
      </c>
      <c r="B229" s="9">
        <v>46139</v>
      </c>
      <c r="C229">
        <v>0</v>
      </c>
      <c r="D229" t="s">
        <v>84</v>
      </c>
      <c r="E229">
        <v>2103</v>
      </c>
      <c r="F229">
        <v>2103</v>
      </c>
      <c r="G229"/>
      <c r="H229"/>
      <c r="J229" t="s">
        <v>578</v>
      </c>
      <c r="K229" t="s">
        <v>579</v>
      </c>
      <c r="L229" t="s">
        <v>708</v>
      </c>
      <c r="M229" t="s">
        <v>86</v>
      </c>
      <c r="N229" t="s">
        <v>709</v>
      </c>
      <c r="O229" t="s">
        <v>87</v>
      </c>
      <c r="P229" t="s">
        <v>89</v>
      </c>
      <c r="Q229" t="s">
        <v>90</v>
      </c>
      <c r="R229">
        <v>2026</v>
      </c>
      <c r="S229">
        <v>2026</v>
      </c>
      <c r="T229" t="s">
        <v>88</v>
      </c>
      <c r="U229">
        <v>85</v>
      </c>
      <c r="V229">
        <v>84669</v>
      </c>
      <c r="W229">
        <v>152.16</v>
      </c>
      <c r="X229">
        <v>420.86</v>
      </c>
      <c r="Y229">
        <v>0</v>
      </c>
      <c r="Z229">
        <v>65.209999999999994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12700.35</v>
      </c>
      <c r="AG229">
        <v>320000</v>
      </c>
      <c r="AH229">
        <v>150000</v>
      </c>
      <c r="AI229">
        <v>0</v>
      </c>
      <c r="AJ229">
        <v>150000</v>
      </c>
      <c r="AK229">
        <v>10000</v>
      </c>
      <c r="AL229">
        <v>10000</v>
      </c>
      <c r="AM229" s="42">
        <v>46113</v>
      </c>
      <c r="AN229" s="42">
        <v>46447</v>
      </c>
      <c r="AO229">
        <v>0</v>
      </c>
      <c r="AP229">
        <v>0</v>
      </c>
      <c r="AQ229">
        <v>0</v>
      </c>
      <c r="AR229" s="8">
        <f t="shared" si="7"/>
        <v>2391.0700000000002</v>
      </c>
      <c r="AS229" s="38">
        <f t="shared" si="8"/>
        <v>1797.2716762</v>
      </c>
      <c r="AT229" s="39" t="s">
        <v>859</v>
      </c>
      <c r="AU229" s="40">
        <f>VLOOKUP(N229,'Apólice Endosso'!D:XFD,23,0)</f>
        <v>0</v>
      </c>
      <c r="AV229" s="39" t="str">
        <f>VLOOKUP(N229,'Apólice Endosso'!D:XFD,28,0)</f>
        <v>Padrão (100%) sem blindagem - 150k - Contrato 2025</v>
      </c>
      <c r="AX229" s="40">
        <f>VLOOKUP(N229,'Apólice Endosso'!D:XFD,30,0)</f>
        <v>5050.3500000000004</v>
      </c>
      <c r="AY229" s="36">
        <v>1809.0308599999998</v>
      </c>
      <c r="AZ229" s="16">
        <v>5050.3500000000004</v>
      </c>
      <c r="BA229" s="16"/>
    </row>
    <row r="230" spans="1:53" x14ac:dyDescent="0.3">
      <c r="A230" t="s">
        <v>85</v>
      </c>
      <c r="B230" s="9">
        <v>46140</v>
      </c>
      <c r="C230">
        <v>0</v>
      </c>
      <c r="D230" t="s">
        <v>84</v>
      </c>
      <c r="E230">
        <v>2103</v>
      </c>
      <c r="F230">
        <v>2103</v>
      </c>
      <c r="G230"/>
      <c r="H230"/>
      <c r="J230" t="s">
        <v>416</v>
      </c>
      <c r="K230" t="s">
        <v>417</v>
      </c>
      <c r="L230" t="s">
        <v>710</v>
      </c>
      <c r="M230" t="s">
        <v>86</v>
      </c>
      <c r="N230" t="s">
        <v>711</v>
      </c>
      <c r="O230" t="s">
        <v>87</v>
      </c>
      <c r="P230" t="s">
        <v>89</v>
      </c>
      <c r="Q230" t="s">
        <v>90</v>
      </c>
      <c r="R230">
        <v>2026</v>
      </c>
      <c r="S230">
        <v>2026</v>
      </c>
      <c r="T230" t="s">
        <v>88</v>
      </c>
      <c r="U230">
        <v>85</v>
      </c>
      <c r="V230">
        <v>84669</v>
      </c>
      <c r="W230">
        <v>152.16</v>
      </c>
      <c r="X230">
        <v>420.86</v>
      </c>
      <c r="Y230">
        <v>0</v>
      </c>
      <c r="Z230">
        <v>65.209999999999994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12700.35</v>
      </c>
      <c r="AG230">
        <v>320000</v>
      </c>
      <c r="AH230">
        <v>150000</v>
      </c>
      <c r="AI230">
        <v>0</v>
      </c>
      <c r="AJ230">
        <v>150000</v>
      </c>
      <c r="AK230">
        <v>10000</v>
      </c>
      <c r="AL230">
        <v>10000</v>
      </c>
      <c r="AM230" s="42">
        <v>46113</v>
      </c>
      <c r="AN230" s="42">
        <v>46447</v>
      </c>
      <c r="AO230">
        <v>0</v>
      </c>
      <c r="AP230">
        <v>0</v>
      </c>
      <c r="AQ230">
        <v>0</v>
      </c>
      <c r="AR230" s="8">
        <f t="shared" si="7"/>
        <v>2391.0700000000002</v>
      </c>
      <c r="AS230" s="38">
        <f t="shared" si="8"/>
        <v>1797.2716762</v>
      </c>
      <c r="AT230" s="39" t="s">
        <v>864</v>
      </c>
      <c r="AU230" s="40">
        <f>VLOOKUP(N230,'Apólice Endosso'!D:XFD,23,0)</f>
        <v>0</v>
      </c>
      <c r="AV230" s="39" t="str">
        <f>VLOOKUP(N230,'Apólice Endosso'!D:XFD,28,0)</f>
        <v>Padrão (100%) sem blindagem - 150k - Contrato 2025</v>
      </c>
      <c r="AX230" s="40">
        <f>VLOOKUP(N230,'Apólice Endosso'!D:XFD,30,0)</f>
        <v>5050.3500000000004</v>
      </c>
      <c r="AY230" s="36">
        <v>1809.0308599999998</v>
      </c>
      <c r="AZ230" s="16">
        <v>5050.3500000000004</v>
      </c>
      <c r="BA230" s="16"/>
    </row>
    <row r="231" spans="1:53" x14ac:dyDescent="0.3">
      <c r="A231" t="s">
        <v>85</v>
      </c>
      <c r="B231" s="9">
        <v>46140</v>
      </c>
      <c r="C231">
        <v>0</v>
      </c>
      <c r="D231" t="s">
        <v>84</v>
      </c>
      <c r="E231">
        <v>2103</v>
      </c>
      <c r="F231">
        <v>2103</v>
      </c>
      <c r="G231"/>
      <c r="H231"/>
      <c r="J231" t="s">
        <v>139</v>
      </c>
      <c r="K231" t="s">
        <v>140</v>
      </c>
      <c r="L231" t="s">
        <v>712</v>
      </c>
      <c r="M231" t="s">
        <v>86</v>
      </c>
      <c r="N231" t="s">
        <v>713</v>
      </c>
      <c r="O231" t="s">
        <v>87</v>
      </c>
      <c r="P231" t="s">
        <v>89</v>
      </c>
      <c r="Q231" t="s">
        <v>90</v>
      </c>
      <c r="R231">
        <v>2026</v>
      </c>
      <c r="S231">
        <v>2026</v>
      </c>
      <c r="T231" t="s">
        <v>88</v>
      </c>
      <c r="U231">
        <v>85</v>
      </c>
      <c r="V231">
        <v>84669</v>
      </c>
      <c r="W231">
        <v>160.88</v>
      </c>
      <c r="X231">
        <v>444.99</v>
      </c>
      <c r="Y231">
        <v>0</v>
      </c>
      <c r="Z231">
        <v>68.95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12700.35</v>
      </c>
      <c r="AG231">
        <v>320000</v>
      </c>
      <c r="AH231">
        <v>150000</v>
      </c>
      <c r="AI231">
        <v>0</v>
      </c>
      <c r="AJ231">
        <v>150000</v>
      </c>
      <c r="AK231">
        <v>10000</v>
      </c>
      <c r="AL231">
        <v>10000</v>
      </c>
      <c r="AM231" s="42">
        <v>46113</v>
      </c>
      <c r="AN231" s="42">
        <v>46447</v>
      </c>
      <c r="AO231">
        <v>0</v>
      </c>
      <c r="AP231">
        <v>0</v>
      </c>
      <c r="AQ231">
        <v>0</v>
      </c>
      <c r="AR231" s="8">
        <f t="shared" si="7"/>
        <v>2528.1299999999997</v>
      </c>
      <c r="AS231" s="38">
        <f t="shared" si="8"/>
        <v>1900.2941957999997</v>
      </c>
      <c r="AT231" s="39" t="s">
        <v>170</v>
      </c>
      <c r="AU231" s="40">
        <f>VLOOKUP(N231,'Apólice Endosso'!D:XFD,23,0)</f>
        <v>0</v>
      </c>
      <c r="AV231" s="39" t="str">
        <f>VLOOKUP(N231,'Apólice Endosso'!D:XFD,28,0)</f>
        <v>Padrão (100%) sem blindagem - 150k - Contrato 2025</v>
      </c>
      <c r="AX231" s="40">
        <f>VLOOKUP(N231,'Apólice Endosso'!D:XFD,30,0)</f>
        <v>5339.9</v>
      </c>
      <c r="AY231" s="36">
        <v>1903.2675479999998</v>
      </c>
      <c r="AZ231" s="16">
        <v>5339.9</v>
      </c>
      <c r="BA231" s="16"/>
    </row>
    <row r="232" spans="1:53" x14ac:dyDescent="0.3">
      <c r="A232" t="s">
        <v>85</v>
      </c>
      <c r="B232" s="9">
        <v>46140</v>
      </c>
      <c r="C232">
        <v>0</v>
      </c>
      <c r="D232" t="s">
        <v>84</v>
      </c>
      <c r="E232">
        <v>2103</v>
      </c>
      <c r="F232">
        <v>2103</v>
      </c>
      <c r="G232"/>
      <c r="H232"/>
      <c r="J232" t="s">
        <v>149</v>
      </c>
      <c r="K232" t="s">
        <v>150</v>
      </c>
      <c r="L232" t="s">
        <v>714</v>
      </c>
      <c r="M232" t="s">
        <v>86</v>
      </c>
      <c r="N232" t="s">
        <v>715</v>
      </c>
      <c r="O232" t="s">
        <v>87</v>
      </c>
      <c r="P232" t="s">
        <v>89</v>
      </c>
      <c r="Q232" t="s">
        <v>90</v>
      </c>
      <c r="R232">
        <v>2026</v>
      </c>
      <c r="S232">
        <v>2026</v>
      </c>
      <c r="T232" t="s">
        <v>88</v>
      </c>
      <c r="U232">
        <v>85</v>
      </c>
      <c r="V232">
        <v>84669</v>
      </c>
      <c r="W232">
        <v>152.16</v>
      </c>
      <c r="X232">
        <v>420.86</v>
      </c>
      <c r="Y232">
        <v>0</v>
      </c>
      <c r="Z232">
        <v>65.209999999999994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12700.35</v>
      </c>
      <c r="AG232">
        <v>320000</v>
      </c>
      <c r="AH232">
        <v>150000</v>
      </c>
      <c r="AI232">
        <v>0</v>
      </c>
      <c r="AJ232">
        <v>150000</v>
      </c>
      <c r="AK232">
        <v>10000</v>
      </c>
      <c r="AL232">
        <v>10000</v>
      </c>
      <c r="AM232" s="42">
        <v>46113</v>
      </c>
      <c r="AN232" s="42">
        <v>46447</v>
      </c>
      <c r="AO232">
        <v>0</v>
      </c>
      <c r="AP232">
        <v>0</v>
      </c>
      <c r="AQ232">
        <v>0</v>
      </c>
      <c r="AR232" s="8">
        <f t="shared" si="7"/>
        <v>2391.0700000000002</v>
      </c>
      <c r="AS232" s="38">
        <f t="shared" si="8"/>
        <v>1797.2716762</v>
      </c>
      <c r="AT232" s="39" t="s">
        <v>173</v>
      </c>
      <c r="AU232" s="40">
        <f>VLOOKUP(N232,'Apólice Endosso'!D:XFD,23,0)</f>
        <v>0</v>
      </c>
      <c r="AV232" s="39" t="str">
        <f>VLOOKUP(N232,'Apólice Endosso'!D:XFD,28,0)</f>
        <v>Padrão (100%) sem blindagem - 150k - Contrato 2025</v>
      </c>
      <c r="AX232" s="40">
        <f>VLOOKUP(N232,'Apólice Endosso'!D:XFD,30,0)</f>
        <v>5050.3500000000004</v>
      </c>
      <c r="AY232" s="36">
        <v>1809.0308599999998</v>
      </c>
      <c r="AZ232" s="16">
        <v>5050.3500000000004</v>
      </c>
      <c r="BA232" s="16"/>
    </row>
    <row r="233" spans="1:53" x14ac:dyDescent="0.3">
      <c r="A233" t="s">
        <v>85</v>
      </c>
      <c r="B233" s="9">
        <v>46140</v>
      </c>
      <c r="C233">
        <v>0</v>
      </c>
      <c r="D233" t="s">
        <v>84</v>
      </c>
      <c r="E233">
        <v>2103</v>
      </c>
      <c r="F233">
        <v>2103</v>
      </c>
      <c r="G233"/>
      <c r="H233"/>
      <c r="J233" t="s">
        <v>149</v>
      </c>
      <c r="K233" t="s">
        <v>150</v>
      </c>
      <c r="L233" t="s">
        <v>716</v>
      </c>
      <c r="M233" t="s">
        <v>86</v>
      </c>
      <c r="N233" t="s">
        <v>717</v>
      </c>
      <c r="O233" t="s">
        <v>87</v>
      </c>
      <c r="P233" t="s">
        <v>89</v>
      </c>
      <c r="Q233" t="s">
        <v>90</v>
      </c>
      <c r="R233">
        <v>2026</v>
      </c>
      <c r="S233">
        <v>2026</v>
      </c>
      <c r="T233" t="s">
        <v>88</v>
      </c>
      <c r="U233">
        <v>85</v>
      </c>
      <c r="V233">
        <v>84669</v>
      </c>
      <c r="W233">
        <v>152.16</v>
      </c>
      <c r="X233">
        <v>420.86</v>
      </c>
      <c r="Y233">
        <v>0</v>
      </c>
      <c r="Z233">
        <v>65.209999999999994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12700.35</v>
      </c>
      <c r="AG233">
        <v>320000</v>
      </c>
      <c r="AH233">
        <v>150000</v>
      </c>
      <c r="AI233">
        <v>0</v>
      </c>
      <c r="AJ233">
        <v>150000</v>
      </c>
      <c r="AK233">
        <v>10000</v>
      </c>
      <c r="AL233">
        <v>10000</v>
      </c>
      <c r="AM233" s="42">
        <v>46113</v>
      </c>
      <c r="AN233" s="42">
        <v>46447</v>
      </c>
      <c r="AO233">
        <v>0</v>
      </c>
      <c r="AP233">
        <v>0</v>
      </c>
      <c r="AQ233">
        <v>0</v>
      </c>
      <c r="AR233" s="8">
        <f t="shared" si="7"/>
        <v>2391.0700000000002</v>
      </c>
      <c r="AS233" s="38">
        <f t="shared" si="8"/>
        <v>1797.2716762</v>
      </c>
      <c r="AT233" s="39" t="s">
        <v>173</v>
      </c>
      <c r="AU233" s="40">
        <f>VLOOKUP(N233,'Apólice Endosso'!D:XFD,23,0)</f>
        <v>0</v>
      </c>
      <c r="AV233" s="39" t="str">
        <f>VLOOKUP(N233,'Apólice Endosso'!D:XFD,28,0)</f>
        <v>Padrão (100%) sem blindagem - 150k - Contrato 2025</v>
      </c>
      <c r="AX233" s="40">
        <f>VLOOKUP(N233,'Apólice Endosso'!D:XFD,30,0)</f>
        <v>5050.3500000000004</v>
      </c>
      <c r="AY233" s="36">
        <v>1809.0308599999998</v>
      </c>
      <c r="AZ233" s="16">
        <v>5050.3500000000004</v>
      </c>
      <c r="BA233" s="16"/>
    </row>
    <row r="234" spans="1:53" x14ac:dyDescent="0.3">
      <c r="A234" t="s">
        <v>85</v>
      </c>
      <c r="B234" s="9">
        <v>46140</v>
      </c>
      <c r="C234">
        <v>0</v>
      </c>
      <c r="D234" t="s">
        <v>84</v>
      </c>
      <c r="E234">
        <v>2103</v>
      </c>
      <c r="F234">
        <v>2103</v>
      </c>
      <c r="G234"/>
      <c r="H234"/>
      <c r="J234" t="s">
        <v>149</v>
      </c>
      <c r="K234" t="s">
        <v>150</v>
      </c>
      <c r="L234" t="s">
        <v>718</v>
      </c>
      <c r="M234" t="s">
        <v>86</v>
      </c>
      <c r="N234" t="s">
        <v>719</v>
      </c>
      <c r="O234" t="s">
        <v>87</v>
      </c>
      <c r="P234" t="s">
        <v>89</v>
      </c>
      <c r="Q234" t="s">
        <v>90</v>
      </c>
      <c r="R234">
        <v>2026</v>
      </c>
      <c r="S234">
        <v>2026</v>
      </c>
      <c r="T234" t="s">
        <v>88</v>
      </c>
      <c r="U234">
        <v>85</v>
      </c>
      <c r="V234">
        <v>84669</v>
      </c>
      <c r="W234">
        <v>152.16</v>
      </c>
      <c r="X234">
        <v>420.86</v>
      </c>
      <c r="Y234">
        <v>0</v>
      </c>
      <c r="Z234">
        <v>65.209999999999994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12700.35</v>
      </c>
      <c r="AG234">
        <v>320000</v>
      </c>
      <c r="AH234">
        <v>150000</v>
      </c>
      <c r="AI234">
        <v>0</v>
      </c>
      <c r="AJ234">
        <v>150000</v>
      </c>
      <c r="AK234">
        <v>10000</v>
      </c>
      <c r="AL234">
        <v>10000</v>
      </c>
      <c r="AM234" s="42">
        <v>46113</v>
      </c>
      <c r="AN234" s="42">
        <v>46447</v>
      </c>
      <c r="AO234">
        <v>0</v>
      </c>
      <c r="AP234">
        <v>0</v>
      </c>
      <c r="AQ234">
        <v>0</v>
      </c>
      <c r="AR234" s="8">
        <f t="shared" si="7"/>
        <v>2391.0700000000002</v>
      </c>
      <c r="AS234" s="38">
        <f t="shared" si="8"/>
        <v>1797.2716762</v>
      </c>
      <c r="AT234" s="39" t="s">
        <v>173</v>
      </c>
      <c r="AU234" s="40">
        <f>VLOOKUP(N234,'Apólice Endosso'!D:XFD,23,0)</f>
        <v>0</v>
      </c>
      <c r="AV234" s="39" t="str">
        <f>VLOOKUP(N234,'Apólice Endosso'!D:XFD,28,0)</f>
        <v>Padrão (100%) sem blindagem - 150k - Contrato 2025</v>
      </c>
      <c r="AX234" s="40">
        <f>VLOOKUP(N234,'Apólice Endosso'!D:XFD,30,0)</f>
        <v>5050.3500000000004</v>
      </c>
      <c r="AY234" s="36">
        <v>1809.0308599999998</v>
      </c>
      <c r="AZ234" s="16">
        <v>5050.3500000000004</v>
      </c>
      <c r="BA234" s="16"/>
    </row>
    <row r="235" spans="1:53" x14ac:dyDescent="0.3">
      <c r="A235" t="s">
        <v>85</v>
      </c>
      <c r="B235" s="9">
        <v>46140</v>
      </c>
      <c r="C235">
        <v>0</v>
      </c>
      <c r="D235" t="s">
        <v>84</v>
      </c>
      <c r="E235">
        <v>2103</v>
      </c>
      <c r="F235">
        <v>2103</v>
      </c>
      <c r="G235"/>
      <c r="H235"/>
      <c r="J235" t="s">
        <v>149</v>
      </c>
      <c r="K235" t="s">
        <v>150</v>
      </c>
      <c r="L235" t="s">
        <v>720</v>
      </c>
      <c r="M235" t="s">
        <v>86</v>
      </c>
      <c r="N235" t="s">
        <v>721</v>
      </c>
      <c r="O235" t="s">
        <v>87</v>
      </c>
      <c r="P235" t="s">
        <v>89</v>
      </c>
      <c r="Q235" t="s">
        <v>90</v>
      </c>
      <c r="R235">
        <v>2026</v>
      </c>
      <c r="S235">
        <v>2026</v>
      </c>
      <c r="T235" t="s">
        <v>88</v>
      </c>
      <c r="U235">
        <v>85</v>
      </c>
      <c r="V235">
        <v>84669</v>
      </c>
      <c r="W235">
        <v>152.16</v>
      </c>
      <c r="X235">
        <v>420.86</v>
      </c>
      <c r="Y235">
        <v>0</v>
      </c>
      <c r="Z235">
        <v>65.209999999999994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12700.35</v>
      </c>
      <c r="AG235">
        <v>320000</v>
      </c>
      <c r="AH235">
        <v>150000</v>
      </c>
      <c r="AI235">
        <v>0</v>
      </c>
      <c r="AJ235">
        <v>150000</v>
      </c>
      <c r="AK235">
        <v>10000</v>
      </c>
      <c r="AL235">
        <v>10000</v>
      </c>
      <c r="AM235" s="42">
        <v>46113</v>
      </c>
      <c r="AN235" s="42">
        <v>46447</v>
      </c>
      <c r="AO235">
        <v>0</v>
      </c>
      <c r="AP235">
        <v>0</v>
      </c>
      <c r="AQ235">
        <v>0</v>
      </c>
      <c r="AR235" s="8">
        <f t="shared" si="7"/>
        <v>2391.0700000000002</v>
      </c>
      <c r="AS235" s="38">
        <f t="shared" si="8"/>
        <v>1797.2716762</v>
      </c>
      <c r="AT235" s="39" t="s">
        <v>173</v>
      </c>
      <c r="AU235" s="40">
        <f>VLOOKUP(N235,'Apólice Endosso'!D:XFD,23,0)</f>
        <v>0</v>
      </c>
      <c r="AV235" s="39" t="str">
        <f>VLOOKUP(N235,'Apólice Endosso'!D:XFD,28,0)</f>
        <v>Padrão (100%) sem blindagem - 150k - Contrato 2025</v>
      </c>
      <c r="AX235" s="40">
        <f>VLOOKUP(N235,'Apólice Endosso'!D:XFD,30,0)</f>
        <v>5050.3500000000004</v>
      </c>
      <c r="AY235" s="36">
        <v>1809.0308599999998</v>
      </c>
      <c r="AZ235" s="16">
        <v>5050.3500000000004</v>
      </c>
      <c r="BA235" s="16"/>
    </row>
    <row r="236" spans="1:53" x14ac:dyDescent="0.3">
      <c r="A236" t="s">
        <v>85</v>
      </c>
      <c r="B236" s="9">
        <v>46140</v>
      </c>
      <c r="C236">
        <v>0</v>
      </c>
      <c r="D236" t="s">
        <v>84</v>
      </c>
      <c r="E236">
        <v>2103</v>
      </c>
      <c r="F236">
        <v>2103</v>
      </c>
      <c r="G236"/>
      <c r="H236"/>
      <c r="J236" t="s">
        <v>149</v>
      </c>
      <c r="K236" t="s">
        <v>150</v>
      </c>
      <c r="L236" t="s">
        <v>722</v>
      </c>
      <c r="M236" t="s">
        <v>86</v>
      </c>
      <c r="N236" t="s">
        <v>723</v>
      </c>
      <c r="O236" t="s">
        <v>87</v>
      </c>
      <c r="P236" t="s">
        <v>89</v>
      </c>
      <c r="Q236" t="s">
        <v>90</v>
      </c>
      <c r="R236">
        <v>2026</v>
      </c>
      <c r="S236">
        <v>2026</v>
      </c>
      <c r="T236" t="s">
        <v>88</v>
      </c>
      <c r="U236">
        <v>85</v>
      </c>
      <c r="V236">
        <v>84669</v>
      </c>
      <c r="W236">
        <v>152.16</v>
      </c>
      <c r="X236">
        <v>420.86</v>
      </c>
      <c r="Y236">
        <v>0</v>
      </c>
      <c r="Z236">
        <v>65.209999999999994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12700.35</v>
      </c>
      <c r="AG236">
        <v>320000</v>
      </c>
      <c r="AH236">
        <v>150000</v>
      </c>
      <c r="AI236">
        <v>0</v>
      </c>
      <c r="AJ236">
        <v>150000</v>
      </c>
      <c r="AK236">
        <v>10000</v>
      </c>
      <c r="AL236">
        <v>10000</v>
      </c>
      <c r="AM236" s="42">
        <v>46113</v>
      </c>
      <c r="AN236" s="42">
        <v>46447</v>
      </c>
      <c r="AO236">
        <v>0</v>
      </c>
      <c r="AP236">
        <v>0</v>
      </c>
      <c r="AQ236">
        <v>0</v>
      </c>
      <c r="AR236" s="8">
        <f t="shared" si="7"/>
        <v>2391.0700000000002</v>
      </c>
      <c r="AS236" s="38">
        <f t="shared" si="8"/>
        <v>1797.2716762</v>
      </c>
      <c r="AT236" s="39" t="s">
        <v>173</v>
      </c>
      <c r="AU236" s="40">
        <f>VLOOKUP(N236,'Apólice Endosso'!D:XFD,23,0)</f>
        <v>0</v>
      </c>
      <c r="AV236" s="39" t="str">
        <f>VLOOKUP(N236,'Apólice Endosso'!D:XFD,28,0)</f>
        <v>Padrão (100%) sem blindagem - 150k - Contrato 2025</v>
      </c>
      <c r="AX236" s="40">
        <f>VLOOKUP(N236,'Apólice Endosso'!D:XFD,30,0)</f>
        <v>5050.3500000000004</v>
      </c>
      <c r="AY236" s="36">
        <v>1809.0308599999998</v>
      </c>
      <c r="AZ236" s="16">
        <v>5050.3500000000004</v>
      </c>
      <c r="BA236" s="16"/>
    </row>
    <row r="237" spans="1:53" x14ac:dyDescent="0.3">
      <c r="A237" t="s">
        <v>85</v>
      </c>
      <c r="B237" s="9">
        <v>46140</v>
      </c>
      <c r="C237">
        <v>0</v>
      </c>
      <c r="D237" t="s">
        <v>84</v>
      </c>
      <c r="E237">
        <v>2103</v>
      </c>
      <c r="F237">
        <v>2103</v>
      </c>
      <c r="G237"/>
      <c r="H237"/>
      <c r="J237" t="s">
        <v>610</v>
      </c>
      <c r="K237" t="s">
        <v>611</v>
      </c>
      <c r="L237" t="s">
        <v>724</v>
      </c>
      <c r="M237" t="s">
        <v>86</v>
      </c>
      <c r="N237" t="s">
        <v>725</v>
      </c>
      <c r="O237" t="s">
        <v>87</v>
      </c>
      <c r="P237" t="s">
        <v>89</v>
      </c>
      <c r="Q237" t="s">
        <v>90</v>
      </c>
      <c r="R237">
        <v>2026</v>
      </c>
      <c r="S237">
        <v>2026</v>
      </c>
      <c r="T237" t="s">
        <v>88</v>
      </c>
      <c r="U237">
        <v>85</v>
      </c>
      <c r="V237">
        <v>84669</v>
      </c>
      <c r="W237">
        <v>152.16</v>
      </c>
      <c r="X237">
        <v>420.86</v>
      </c>
      <c r="Y237">
        <v>0</v>
      </c>
      <c r="Z237">
        <v>65.209999999999994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12700.35</v>
      </c>
      <c r="AG237">
        <v>320000</v>
      </c>
      <c r="AH237">
        <v>150000</v>
      </c>
      <c r="AI237">
        <v>0</v>
      </c>
      <c r="AJ237">
        <v>150000</v>
      </c>
      <c r="AK237">
        <v>10000</v>
      </c>
      <c r="AL237">
        <v>10000</v>
      </c>
      <c r="AM237" s="42">
        <v>46113</v>
      </c>
      <c r="AN237" s="42">
        <v>46447</v>
      </c>
      <c r="AO237">
        <v>0</v>
      </c>
      <c r="AP237">
        <v>0</v>
      </c>
      <c r="AQ237">
        <v>0</v>
      </c>
      <c r="AR237" s="8">
        <f t="shared" si="7"/>
        <v>2391.0700000000002</v>
      </c>
      <c r="AS237" s="38">
        <f t="shared" si="8"/>
        <v>1797.2716762</v>
      </c>
      <c r="AT237" s="39" t="s">
        <v>872</v>
      </c>
      <c r="AU237" s="40">
        <f>VLOOKUP(N237,'Apólice Endosso'!D:XFD,23,0)</f>
        <v>0</v>
      </c>
      <c r="AV237" s="39" t="str">
        <f>VLOOKUP(N237,'Apólice Endosso'!D:XFD,28,0)</f>
        <v>Padrão (100%) sem blindagem - 150k - Contrato 2025</v>
      </c>
      <c r="AX237" s="40">
        <f>VLOOKUP(N237,'Apólice Endosso'!D:XFD,30,0)</f>
        <v>5050.3500000000004</v>
      </c>
      <c r="AY237" s="36">
        <v>1809.0308599999998</v>
      </c>
      <c r="AZ237" s="16">
        <v>5050.3500000000004</v>
      </c>
      <c r="BA237" s="16"/>
    </row>
    <row r="238" spans="1:53" x14ac:dyDescent="0.3">
      <c r="A238" t="s">
        <v>85</v>
      </c>
      <c r="B238" s="9">
        <v>46141</v>
      </c>
      <c r="C238">
        <v>0</v>
      </c>
      <c r="D238" t="s">
        <v>84</v>
      </c>
      <c r="E238">
        <v>2103</v>
      </c>
      <c r="F238">
        <v>2103</v>
      </c>
      <c r="G238"/>
      <c r="H238"/>
      <c r="J238" t="s">
        <v>136</v>
      </c>
      <c r="K238" t="s">
        <v>137</v>
      </c>
      <c r="L238" t="s">
        <v>726</v>
      </c>
      <c r="M238" t="s">
        <v>86</v>
      </c>
      <c r="N238" t="s">
        <v>727</v>
      </c>
      <c r="O238" t="s">
        <v>87</v>
      </c>
      <c r="P238" t="s">
        <v>728</v>
      </c>
      <c r="Q238" t="s">
        <v>729</v>
      </c>
      <c r="R238">
        <v>2026</v>
      </c>
      <c r="S238">
        <v>2026</v>
      </c>
      <c r="T238" t="s">
        <v>730</v>
      </c>
      <c r="U238">
        <v>85</v>
      </c>
      <c r="V238">
        <v>108341</v>
      </c>
      <c r="W238">
        <v>137.88</v>
      </c>
      <c r="X238">
        <v>486.21</v>
      </c>
      <c r="Y238">
        <v>0</v>
      </c>
      <c r="Z238">
        <v>59.09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16251.15</v>
      </c>
      <c r="AG238">
        <v>320000</v>
      </c>
      <c r="AH238">
        <v>150000</v>
      </c>
      <c r="AI238">
        <v>0</v>
      </c>
      <c r="AJ238">
        <v>150000</v>
      </c>
      <c r="AK238">
        <v>10000</v>
      </c>
      <c r="AL238">
        <v>10000</v>
      </c>
      <c r="AM238" s="42">
        <v>46113</v>
      </c>
      <c r="AN238" s="42">
        <v>46447</v>
      </c>
      <c r="AO238">
        <v>0</v>
      </c>
      <c r="AP238">
        <v>0</v>
      </c>
      <c r="AQ238">
        <v>0</v>
      </c>
      <c r="AR238" s="8">
        <f t="shared" si="7"/>
        <v>2166.67</v>
      </c>
      <c r="AS238" s="38">
        <f t="shared" si="8"/>
        <v>1628.5991721999999</v>
      </c>
      <c r="AT238" s="39" t="s">
        <v>167</v>
      </c>
      <c r="AU238" s="40">
        <f>VLOOKUP(N238,'Apólice Endosso'!D:XFD,23,0)</f>
        <v>0</v>
      </c>
      <c r="AV238" s="39" t="str">
        <f>VLOOKUP(N238,'Apólice Endosso'!D:XFD,28,0)</f>
        <v>Padrão (100%) sem blindagem - 150k - Contrato 2025</v>
      </c>
      <c r="AX238" s="40">
        <f>VLOOKUP(N238,'Apólice Endosso'!D:XFD,30,0)</f>
        <v>5834.55</v>
      </c>
      <c r="AY238" s="36">
        <v>1654.6828480000001</v>
      </c>
      <c r="AZ238" s="16">
        <v>5834.55</v>
      </c>
      <c r="BA238" s="16"/>
    </row>
    <row r="239" spans="1:53" x14ac:dyDescent="0.3">
      <c r="A239" t="s">
        <v>85</v>
      </c>
      <c r="B239" s="9">
        <v>46141</v>
      </c>
      <c r="C239">
        <v>0</v>
      </c>
      <c r="D239" t="s">
        <v>84</v>
      </c>
      <c r="E239">
        <v>2103</v>
      </c>
      <c r="F239">
        <v>2103</v>
      </c>
      <c r="G239"/>
      <c r="H239"/>
      <c r="J239" t="s">
        <v>149</v>
      </c>
      <c r="K239" t="s">
        <v>150</v>
      </c>
      <c r="L239" t="s">
        <v>731</v>
      </c>
      <c r="M239" t="s">
        <v>86</v>
      </c>
      <c r="N239" t="s">
        <v>732</v>
      </c>
      <c r="O239" t="s">
        <v>87</v>
      </c>
      <c r="P239" t="s">
        <v>89</v>
      </c>
      <c r="Q239" t="s">
        <v>90</v>
      </c>
      <c r="R239">
        <v>2026</v>
      </c>
      <c r="S239">
        <v>2026</v>
      </c>
      <c r="T239" t="s">
        <v>88</v>
      </c>
      <c r="U239">
        <v>85</v>
      </c>
      <c r="V239">
        <v>84669</v>
      </c>
      <c r="W239">
        <v>152.16</v>
      </c>
      <c r="X239">
        <v>420.86</v>
      </c>
      <c r="Y239">
        <v>0</v>
      </c>
      <c r="Z239">
        <v>65.209999999999994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12700.35</v>
      </c>
      <c r="AG239">
        <v>320000</v>
      </c>
      <c r="AH239">
        <v>150000</v>
      </c>
      <c r="AI239">
        <v>0</v>
      </c>
      <c r="AJ239">
        <v>150000</v>
      </c>
      <c r="AK239">
        <v>10000</v>
      </c>
      <c r="AL239">
        <v>10000</v>
      </c>
      <c r="AM239" s="42">
        <v>46113</v>
      </c>
      <c r="AN239" s="42">
        <v>46447</v>
      </c>
      <c r="AO239">
        <v>0</v>
      </c>
      <c r="AP239">
        <v>0</v>
      </c>
      <c r="AQ239">
        <v>0</v>
      </c>
      <c r="AR239" s="8">
        <f t="shared" si="7"/>
        <v>2391.0700000000002</v>
      </c>
      <c r="AS239" s="38">
        <f t="shared" si="8"/>
        <v>1797.2716762</v>
      </c>
      <c r="AT239" s="39" t="s">
        <v>173</v>
      </c>
      <c r="AU239" s="40">
        <f>VLOOKUP(N239,'Apólice Endosso'!D:XFD,23,0)</f>
        <v>0</v>
      </c>
      <c r="AV239" s="39" t="str">
        <f>VLOOKUP(N239,'Apólice Endosso'!D:XFD,28,0)</f>
        <v>Padrão (100%) sem blindagem - 150k - Contrato 2025</v>
      </c>
      <c r="AX239" s="40">
        <f>VLOOKUP(N239,'Apólice Endosso'!D:XFD,30,0)</f>
        <v>5050.3500000000004</v>
      </c>
      <c r="AY239" s="36">
        <v>1809.0308599999998</v>
      </c>
      <c r="AZ239" s="16">
        <v>5050.3500000000004</v>
      </c>
      <c r="BA239" s="16"/>
    </row>
    <row r="240" spans="1:53" x14ac:dyDescent="0.3">
      <c r="A240" t="s">
        <v>85</v>
      </c>
      <c r="B240" s="9">
        <v>46141</v>
      </c>
      <c r="C240">
        <v>0</v>
      </c>
      <c r="D240" t="s">
        <v>84</v>
      </c>
      <c r="E240">
        <v>2103</v>
      </c>
      <c r="F240">
        <v>2103</v>
      </c>
      <c r="G240"/>
      <c r="H240"/>
      <c r="J240" t="s">
        <v>149</v>
      </c>
      <c r="K240" t="s">
        <v>150</v>
      </c>
      <c r="L240" t="s">
        <v>733</v>
      </c>
      <c r="M240" t="s">
        <v>86</v>
      </c>
      <c r="N240" t="s">
        <v>734</v>
      </c>
      <c r="O240" t="s">
        <v>87</v>
      </c>
      <c r="P240" t="s">
        <v>89</v>
      </c>
      <c r="Q240" t="s">
        <v>90</v>
      </c>
      <c r="R240">
        <v>2026</v>
      </c>
      <c r="S240">
        <v>2026</v>
      </c>
      <c r="T240" t="s">
        <v>88</v>
      </c>
      <c r="U240">
        <v>85</v>
      </c>
      <c r="V240">
        <v>84669</v>
      </c>
      <c r="W240">
        <v>152.16</v>
      </c>
      <c r="X240">
        <v>420.86</v>
      </c>
      <c r="Y240">
        <v>0</v>
      </c>
      <c r="Z240">
        <v>65.209999999999994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12700.35</v>
      </c>
      <c r="AG240">
        <v>320000</v>
      </c>
      <c r="AH240">
        <v>150000</v>
      </c>
      <c r="AI240">
        <v>0</v>
      </c>
      <c r="AJ240">
        <v>150000</v>
      </c>
      <c r="AK240">
        <v>10000</v>
      </c>
      <c r="AL240">
        <v>10000</v>
      </c>
      <c r="AM240" s="42">
        <v>46113</v>
      </c>
      <c r="AN240" s="42">
        <v>46447</v>
      </c>
      <c r="AO240">
        <v>0</v>
      </c>
      <c r="AP240">
        <v>0</v>
      </c>
      <c r="AQ240">
        <v>0</v>
      </c>
      <c r="AR240" s="8">
        <f t="shared" si="7"/>
        <v>2391.0700000000002</v>
      </c>
      <c r="AS240" s="38">
        <f t="shared" si="8"/>
        <v>1797.2716762</v>
      </c>
      <c r="AT240" s="39" t="s">
        <v>173</v>
      </c>
      <c r="AU240" s="40">
        <f>VLOOKUP(N240,'Apólice Endosso'!D:XFD,23,0)</f>
        <v>0</v>
      </c>
      <c r="AV240" s="39" t="str">
        <f>VLOOKUP(N240,'Apólice Endosso'!D:XFD,28,0)</f>
        <v>Padrão (100%) sem blindagem - 150k - Contrato 2025</v>
      </c>
      <c r="AX240" s="40">
        <f>VLOOKUP(N240,'Apólice Endosso'!D:XFD,30,0)</f>
        <v>5050.3500000000004</v>
      </c>
      <c r="AY240" s="36">
        <v>1809.0308599999998</v>
      </c>
      <c r="AZ240" s="16">
        <v>5050.3500000000004</v>
      </c>
      <c r="BA240" s="16"/>
    </row>
    <row r="241" spans="1:53" x14ac:dyDescent="0.3">
      <c r="A241" t="s">
        <v>85</v>
      </c>
      <c r="B241" s="9">
        <v>46141</v>
      </c>
      <c r="C241">
        <v>0</v>
      </c>
      <c r="D241" t="s">
        <v>84</v>
      </c>
      <c r="E241">
        <v>2103</v>
      </c>
      <c r="F241">
        <v>2103</v>
      </c>
      <c r="G241"/>
      <c r="H241"/>
      <c r="J241" t="s">
        <v>149</v>
      </c>
      <c r="K241" t="s">
        <v>150</v>
      </c>
      <c r="L241" t="s">
        <v>735</v>
      </c>
      <c r="M241" t="s">
        <v>86</v>
      </c>
      <c r="N241" t="s">
        <v>736</v>
      </c>
      <c r="O241" t="s">
        <v>87</v>
      </c>
      <c r="P241" t="s">
        <v>89</v>
      </c>
      <c r="Q241" t="s">
        <v>90</v>
      </c>
      <c r="R241">
        <v>2026</v>
      </c>
      <c r="S241">
        <v>2026</v>
      </c>
      <c r="T241" t="s">
        <v>88</v>
      </c>
      <c r="U241">
        <v>85</v>
      </c>
      <c r="V241">
        <v>84669</v>
      </c>
      <c r="W241">
        <v>152.16</v>
      </c>
      <c r="X241">
        <v>420.86</v>
      </c>
      <c r="Y241">
        <v>0</v>
      </c>
      <c r="Z241">
        <v>65.209999999999994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12700.35</v>
      </c>
      <c r="AG241">
        <v>320000</v>
      </c>
      <c r="AH241">
        <v>150000</v>
      </c>
      <c r="AI241">
        <v>0</v>
      </c>
      <c r="AJ241">
        <v>150000</v>
      </c>
      <c r="AK241">
        <v>10000</v>
      </c>
      <c r="AL241">
        <v>10000</v>
      </c>
      <c r="AM241" s="42">
        <v>46113</v>
      </c>
      <c r="AN241" s="42">
        <v>46447</v>
      </c>
      <c r="AO241">
        <v>0</v>
      </c>
      <c r="AP241">
        <v>0</v>
      </c>
      <c r="AQ241">
        <v>0</v>
      </c>
      <c r="AR241" s="8">
        <f t="shared" si="7"/>
        <v>2391.0700000000002</v>
      </c>
      <c r="AS241" s="38">
        <f t="shared" si="8"/>
        <v>1797.2716762</v>
      </c>
      <c r="AT241" s="39" t="s">
        <v>173</v>
      </c>
      <c r="AU241" s="40">
        <f>VLOOKUP(N241,'Apólice Endosso'!D:XFD,23,0)</f>
        <v>0</v>
      </c>
      <c r="AV241" s="39" t="str">
        <f>VLOOKUP(N241,'Apólice Endosso'!D:XFD,28,0)</f>
        <v>Padrão (100%) sem blindagem - 150k - Contrato 2025</v>
      </c>
      <c r="AX241" s="40">
        <f>VLOOKUP(N241,'Apólice Endosso'!D:XFD,30,0)</f>
        <v>5050.3500000000004</v>
      </c>
      <c r="AY241" s="36">
        <v>1809.0308599999998</v>
      </c>
      <c r="AZ241" s="16">
        <v>5050.3500000000004</v>
      </c>
      <c r="BA241" s="16"/>
    </row>
    <row r="242" spans="1:53" x14ac:dyDescent="0.3">
      <c r="A242" t="s">
        <v>85</v>
      </c>
      <c r="B242" s="9">
        <v>46141</v>
      </c>
      <c r="C242">
        <v>0</v>
      </c>
      <c r="D242" t="s">
        <v>84</v>
      </c>
      <c r="E242">
        <v>2103</v>
      </c>
      <c r="F242">
        <v>2103</v>
      </c>
      <c r="G242"/>
      <c r="H242"/>
      <c r="J242" t="s">
        <v>416</v>
      </c>
      <c r="K242" t="s">
        <v>417</v>
      </c>
      <c r="L242" t="s">
        <v>737</v>
      </c>
      <c r="M242" t="s">
        <v>86</v>
      </c>
      <c r="N242" t="s">
        <v>738</v>
      </c>
      <c r="O242" t="s">
        <v>87</v>
      </c>
      <c r="P242" t="s">
        <v>89</v>
      </c>
      <c r="Q242" t="s">
        <v>90</v>
      </c>
      <c r="R242">
        <v>2026</v>
      </c>
      <c r="S242">
        <v>2026</v>
      </c>
      <c r="T242" t="s">
        <v>88</v>
      </c>
      <c r="U242">
        <v>85</v>
      </c>
      <c r="V242">
        <v>84669</v>
      </c>
      <c r="W242">
        <v>152.16</v>
      </c>
      <c r="X242">
        <v>420.86</v>
      </c>
      <c r="Y242">
        <v>0</v>
      </c>
      <c r="Z242">
        <v>65.209999999999994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12700.35</v>
      </c>
      <c r="AG242">
        <v>320000</v>
      </c>
      <c r="AH242">
        <v>150000</v>
      </c>
      <c r="AI242">
        <v>0</v>
      </c>
      <c r="AJ242">
        <v>150000</v>
      </c>
      <c r="AK242">
        <v>10000</v>
      </c>
      <c r="AL242">
        <v>10000</v>
      </c>
      <c r="AM242" s="42">
        <v>46113</v>
      </c>
      <c r="AN242" s="42">
        <v>46447</v>
      </c>
      <c r="AO242">
        <v>0</v>
      </c>
      <c r="AP242">
        <v>0</v>
      </c>
      <c r="AQ242">
        <v>0</v>
      </c>
      <c r="AR242" s="8">
        <f t="shared" si="7"/>
        <v>2391.0700000000002</v>
      </c>
      <c r="AS242" s="38">
        <f t="shared" si="8"/>
        <v>1797.2716762</v>
      </c>
      <c r="AT242" s="39" t="s">
        <v>864</v>
      </c>
      <c r="AU242" s="40">
        <f>VLOOKUP(N242,'Apólice Endosso'!D:XFD,23,0)</f>
        <v>0</v>
      </c>
      <c r="AV242" s="39" t="str">
        <f>VLOOKUP(N242,'Apólice Endosso'!D:XFD,28,0)</f>
        <v>Padrão (100%) sem blindagem - 150k - Contrato 2025</v>
      </c>
      <c r="AX242" s="40">
        <f>VLOOKUP(N242,'Apólice Endosso'!D:XFD,30,0)</f>
        <v>5050.3500000000004</v>
      </c>
      <c r="AY242" s="36">
        <v>1809.0308599999998</v>
      </c>
      <c r="AZ242" s="16">
        <v>5050.3500000000004</v>
      </c>
      <c r="BA242" s="16"/>
    </row>
    <row r="243" spans="1:53" x14ac:dyDescent="0.3">
      <c r="A243" t="s">
        <v>85</v>
      </c>
      <c r="B243" s="9">
        <v>46141</v>
      </c>
      <c r="C243">
        <v>0</v>
      </c>
      <c r="D243" t="s">
        <v>84</v>
      </c>
      <c r="E243">
        <v>2103</v>
      </c>
      <c r="F243">
        <v>2103</v>
      </c>
      <c r="G243"/>
      <c r="H243"/>
      <c r="J243" t="s">
        <v>416</v>
      </c>
      <c r="K243" t="s">
        <v>417</v>
      </c>
      <c r="L243" t="s">
        <v>739</v>
      </c>
      <c r="M243" t="s">
        <v>86</v>
      </c>
      <c r="N243" t="s">
        <v>740</v>
      </c>
      <c r="O243" t="s">
        <v>87</v>
      </c>
      <c r="P243" t="s">
        <v>89</v>
      </c>
      <c r="Q243" t="s">
        <v>90</v>
      </c>
      <c r="R243">
        <v>2026</v>
      </c>
      <c r="S243">
        <v>2026</v>
      </c>
      <c r="T243" t="s">
        <v>88</v>
      </c>
      <c r="U243">
        <v>85</v>
      </c>
      <c r="V243">
        <v>84669</v>
      </c>
      <c r="W243">
        <v>152.16</v>
      </c>
      <c r="X243">
        <v>420.86</v>
      </c>
      <c r="Y243">
        <v>0</v>
      </c>
      <c r="Z243">
        <v>65.209999999999994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12700.35</v>
      </c>
      <c r="AG243">
        <v>320000</v>
      </c>
      <c r="AH243">
        <v>150000</v>
      </c>
      <c r="AI243">
        <v>0</v>
      </c>
      <c r="AJ243">
        <v>150000</v>
      </c>
      <c r="AK243">
        <v>10000</v>
      </c>
      <c r="AL243">
        <v>10000</v>
      </c>
      <c r="AM243" s="42">
        <v>46113</v>
      </c>
      <c r="AN243" s="42">
        <v>46447</v>
      </c>
      <c r="AO243">
        <v>0</v>
      </c>
      <c r="AP243">
        <v>0</v>
      </c>
      <c r="AQ243">
        <v>0</v>
      </c>
      <c r="AR243" s="8">
        <f t="shared" si="7"/>
        <v>2391.0700000000002</v>
      </c>
      <c r="AS243" s="38">
        <f t="shared" si="8"/>
        <v>1797.2716762</v>
      </c>
      <c r="AT243" s="39" t="s">
        <v>864</v>
      </c>
      <c r="AU243" s="40">
        <f>VLOOKUP(N243,'Apólice Endosso'!D:XFD,23,0)</f>
        <v>0</v>
      </c>
      <c r="AV243" s="39" t="str">
        <f>VLOOKUP(N243,'Apólice Endosso'!D:XFD,28,0)</f>
        <v>Padrão (100%) sem blindagem - 150k - Contrato 2025</v>
      </c>
      <c r="AX243" s="40">
        <f>VLOOKUP(N243,'Apólice Endosso'!D:XFD,30,0)</f>
        <v>5050.3500000000004</v>
      </c>
      <c r="AY243" s="36">
        <v>1809.0308599999998</v>
      </c>
      <c r="AZ243" s="16">
        <v>5050.3500000000004</v>
      </c>
      <c r="BA243" s="16"/>
    </row>
    <row r="244" spans="1:53" x14ac:dyDescent="0.3">
      <c r="A244" t="s">
        <v>85</v>
      </c>
      <c r="B244" s="9">
        <v>46141</v>
      </c>
      <c r="C244">
        <v>0</v>
      </c>
      <c r="D244" t="s">
        <v>84</v>
      </c>
      <c r="E244">
        <v>2103</v>
      </c>
      <c r="F244">
        <v>2103</v>
      </c>
      <c r="G244"/>
      <c r="H244"/>
      <c r="J244" t="s">
        <v>416</v>
      </c>
      <c r="K244" t="s">
        <v>417</v>
      </c>
      <c r="L244" t="s">
        <v>741</v>
      </c>
      <c r="M244" t="s">
        <v>86</v>
      </c>
      <c r="N244" t="s">
        <v>742</v>
      </c>
      <c r="O244" t="s">
        <v>87</v>
      </c>
      <c r="P244" t="s">
        <v>89</v>
      </c>
      <c r="Q244" t="s">
        <v>90</v>
      </c>
      <c r="R244">
        <v>2026</v>
      </c>
      <c r="S244">
        <v>2026</v>
      </c>
      <c r="T244" t="s">
        <v>88</v>
      </c>
      <c r="U244">
        <v>85</v>
      </c>
      <c r="V244">
        <v>84669</v>
      </c>
      <c r="W244">
        <v>152.16</v>
      </c>
      <c r="X244">
        <v>420.86</v>
      </c>
      <c r="Y244">
        <v>0</v>
      </c>
      <c r="Z244">
        <v>65.209999999999994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12700.35</v>
      </c>
      <c r="AG244">
        <v>320000</v>
      </c>
      <c r="AH244">
        <v>150000</v>
      </c>
      <c r="AI244">
        <v>0</v>
      </c>
      <c r="AJ244">
        <v>150000</v>
      </c>
      <c r="AK244">
        <v>10000</v>
      </c>
      <c r="AL244">
        <v>10000</v>
      </c>
      <c r="AM244" s="42">
        <v>46113</v>
      </c>
      <c r="AN244" s="42">
        <v>46447</v>
      </c>
      <c r="AO244">
        <v>0</v>
      </c>
      <c r="AP244">
        <v>0</v>
      </c>
      <c r="AQ244">
        <v>0</v>
      </c>
      <c r="AR244" s="8">
        <f t="shared" si="7"/>
        <v>2391.0700000000002</v>
      </c>
      <c r="AS244" s="38">
        <f t="shared" si="8"/>
        <v>1797.2716762</v>
      </c>
      <c r="AT244" s="39" t="s">
        <v>864</v>
      </c>
      <c r="AU244" s="40">
        <f>VLOOKUP(N244,'Apólice Endosso'!D:XFD,23,0)</f>
        <v>0</v>
      </c>
      <c r="AV244" s="39" t="str">
        <f>VLOOKUP(N244,'Apólice Endosso'!D:XFD,28,0)</f>
        <v>Padrão (100%) sem blindagem - 150k - Contrato 2025</v>
      </c>
      <c r="AX244" s="40">
        <f>VLOOKUP(N244,'Apólice Endosso'!D:XFD,30,0)</f>
        <v>5050.3500000000004</v>
      </c>
      <c r="AY244" s="36">
        <v>1809.0308599999998</v>
      </c>
      <c r="AZ244" s="16">
        <v>5050.3500000000004</v>
      </c>
      <c r="BA244" s="16"/>
    </row>
    <row r="245" spans="1:53" x14ac:dyDescent="0.3">
      <c r="A245" t="s">
        <v>85</v>
      </c>
      <c r="B245" s="9">
        <v>46141</v>
      </c>
      <c r="C245">
        <v>0</v>
      </c>
      <c r="D245" t="s">
        <v>84</v>
      </c>
      <c r="E245">
        <v>2103</v>
      </c>
      <c r="F245">
        <v>2103</v>
      </c>
      <c r="G245"/>
      <c r="H245"/>
      <c r="J245" t="s">
        <v>542</v>
      </c>
      <c r="K245" t="s">
        <v>543</v>
      </c>
      <c r="L245" t="s">
        <v>743</v>
      </c>
      <c r="M245" t="s">
        <v>86</v>
      </c>
      <c r="N245" t="s">
        <v>744</v>
      </c>
      <c r="O245" t="s">
        <v>87</v>
      </c>
      <c r="P245" t="s">
        <v>89</v>
      </c>
      <c r="Q245" t="s">
        <v>90</v>
      </c>
      <c r="R245">
        <v>2026</v>
      </c>
      <c r="S245">
        <v>2026</v>
      </c>
      <c r="T245" t="s">
        <v>88</v>
      </c>
      <c r="U245">
        <v>85</v>
      </c>
      <c r="V245">
        <v>84669</v>
      </c>
      <c r="W245">
        <v>152.16</v>
      </c>
      <c r="X245">
        <v>420.86</v>
      </c>
      <c r="Y245">
        <v>0</v>
      </c>
      <c r="Z245">
        <v>65.209999999999994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12700.35</v>
      </c>
      <c r="AG245">
        <v>320000</v>
      </c>
      <c r="AH245">
        <v>150000</v>
      </c>
      <c r="AI245">
        <v>0</v>
      </c>
      <c r="AJ245">
        <v>150000</v>
      </c>
      <c r="AK245">
        <v>10000</v>
      </c>
      <c r="AL245">
        <v>10000</v>
      </c>
      <c r="AM245" s="42">
        <v>46113</v>
      </c>
      <c r="AN245" s="42">
        <v>46447</v>
      </c>
      <c r="AO245">
        <v>0</v>
      </c>
      <c r="AP245">
        <v>0</v>
      </c>
      <c r="AQ245">
        <v>0</v>
      </c>
      <c r="AR245" s="8">
        <f t="shared" si="7"/>
        <v>2391.0700000000002</v>
      </c>
      <c r="AS245" s="38">
        <f t="shared" si="8"/>
        <v>1797.2716762</v>
      </c>
      <c r="AT245" s="39" t="s">
        <v>864</v>
      </c>
      <c r="AU245" s="40">
        <f>VLOOKUP(N245,'Apólice Endosso'!D:XFD,23,0)</f>
        <v>0</v>
      </c>
      <c r="AV245" s="39" t="str">
        <f>VLOOKUP(N245,'Apólice Endosso'!D:XFD,28,0)</f>
        <v>Padrão (100%) sem blindagem - 150k - Contrato 2025</v>
      </c>
      <c r="AX245" s="40">
        <f>VLOOKUP(N245,'Apólice Endosso'!D:XFD,30,0)</f>
        <v>5050.3500000000004</v>
      </c>
      <c r="AY245" s="36">
        <v>1809.0308599999998</v>
      </c>
      <c r="AZ245" s="16">
        <v>5050.3500000000004</v>
      </c>
      <c r="BA245" s="16"/>
    </row>
    <row r="246" spans="1:53" x14ac:dyDescent="0.3">
      <c r="A246" t="s">
        <v>85</v>
      </c>
      <c r="B246" s="9">
        <v>46141</v>
      </c>
      <c r="C246">
        <v>0</v>
      </c>
      <c r="D246" t="s">
        <v>84</v>
      </c>
      <c r="E246">
        <v>2103</v>
      </c>
      <c r="F246">
        <v>2103</v>
      </c>
      <c r="G246"/>
      <c r="H246"/>
      <c r="J246" t="s">
        <v>745</v>
      </c>
      <c r="K246" t="s">
        <v>746</v>
      </c>
      <c r="L246" t="s">
        <v>747</v>
      </c>
      <c r="M246" t="s">
        <v>86</v>
      </c>
      <c r="N246" t="s">
        <v>748</v>
      </c>
      <c r="O246" t="s">
        <v>87</v>
      </c>
      <c r="P246" t="s">
        <v>126</v>
      </c>
      <c r="Q246" t="s">
        <v>160</v>
      </c>
      <c r="R246">
        <v>2026</v>
      </c>
      <c r="S246">
        <v>2026</v>
      </c>
      <c r="T246" t="s">
        <v>127</v>
      </c>
      <c r="U246">
        <v>85</v>
      </c>
      <c r="V246">
        <v>97320</v>
      </c>
      <c r="W246">
        <v>175.49</v>
      </c>
      <c r="X246">
        <v>485.38</v>
      </c>
      <c r="Y246">
        <v>0</v>
      </c>
      <c r="Z246">
        <v>75.209999999999994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14598</v>
      </c>
      <c r="AG246">
        <v>320000</v>
      </c>
      <c r="AH246">
        <v>150000</v>
      </c>
      <c r="AI246">
        <v>0</v>
      </c>
      <c r="AJ246">
        <v>150000</v>
      </c>
      <c r="AK246">
        <v>10000</v>
      </c>
      <c r="AL246">
        <v>10000</v>
      </c>
      <c r="AM246" s="42">
        <v>46113</v>
      </c>
      <c r="AN246" s="42">
        <v>46447</v>
      </c>
      <c r="AO246">
        <v>0</v>
      </c>
      <c r="AP246">
        <v>0</v>
      </c>
      <c r="AQ246">
        <v>0</v>
      </c>
      <c r="AR246" s="8">
        <f t="shared" si="7"/>
        <v>2757.7</v>
      </c>
      <c r="AS246" s="38">
        <f t="shared" si="8"/>
        <v>2072.8527819999995</v>
      </c>
      <c r="AT246" s="39" t="s">
        <v>168</v>
      </c>
      <c r="AU246" s="40">
        <f>VLOOKUP(N246,'Apólice Endosso'!D:XFD,23,0)</f>
        <v>0</v>
      </c>
      <c r="AV246" s="39" t="str">
        <f>VLOOKUP(N246,'Apólice Endosso'!D:XFD,28,0)</f>
        <v>Padrão (100%) sem blindagem - 150k - Contrato 2025</v>
      </c>
      <c r="AX246" s="40">
        <f>VLOOKUP(N246,'Apólice Endosso'!D:XFD,30,0)</f>
        <v>5824.6</v>
      </c>
      <c r="AY246" s="36">
        <v>2061.2020520000001</v>
      </c>
      <c r="AZ246" s="16">
        <v>5824.6</v>
      </c>
      <c r="BA246" s="16"/>
    </row>
    <row r="247" spans="1:53" x14ac:dyDescent="0.3">
      <c r="A247" t="s">
        <v>85</v>
      </c>
      <c r="B247" s="9">
        <v>46141</v>
      </c>
      <c r="C247">
        <v>0</v>
      </c>
      <c r="D247" t="s">
        <v>84</v>
      </c>
      <c r="E247">
        <v>2103</v>
      </c>
      <c r="F247">
        <v>2103</v>
      </c>
      <c r="G247"/>
      <c r="H247"/>
      <c r="J247" t="s">
        <v>149</v>
      </c>
      <c r="K247" t="s">
        <v>150</v>
      </c>
      <c r="L247" t="s">
        <v>749</v>
      </c>
      <c r="M247" t="s">
        <v>86</v>
      </c>
      <c r="N247" t="s">
        <v>750</v>
      </c>
      <c r="O247" t="s">
        <v>87</v>
      </c>
      <c r="P247" t="s">
        <v>89</v>
      </c>
      <c r="Q247" t="s">
        <v>90</v>
      </c>
      <c r="R247">
        <v>2026</v>
      </c>
      <c r="S247">
        <v>2026</v>
      </c>
      <c r="T247" t="s">
        <v>88</v>
      </c>
      <c r="U247">
        <v>85</v>
      </c>
      <c r="V247">
        <v>84669</v>
      </c>
      <c r="W247">
        <v>152.16</v>
      </c>
      <c r="X247">
        <v>420.86</v>
      </c>
      <c r="Y247">
        <v>0</v>
      </c>
      <c r="Z247">
        <v>65.209999999999994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12700.35</v>
      </c>
      <c r="AG247">
        <v>320000</v>
      </c>
      <c r="AH247">
        <v>150000</v>
      </c>
      <c r="AI247">
        <v>0</v>
      </c>
      <c r="AJ247">
        <v>150000</v>
      </c>
      <c r="AK247">
        <v>10000</v>
      </c>
      <c r="AL247">
        <v>10000</v>
      </c>
      <c r="AM247" s="42">
        <v>46113</v>
      </c>
      <c r="AN247" s="42">
        <v>46447</v>
      </c>
      <c r="AO247">
        <v>0</v>
      </c>
      <c r="AP247">
        <v>0</v>
      </c>
      <c r="AQ247">
        <v>0</v>
      </c>
      <c r="AR247" s="8">
        <f t="shared" si="7"/>
        <v>2391.0700000000002</v>
      </c>
      <c r="AS247" s="38">
        <f t="shared" si="8"/>
        <v>1797.2716762</v>
      </c>
      <c r="AT247" s="39" t="s">
        <v>173</v>
      </c>
      <c r="AU247" s="40">
        <f>VLOOKUP(N247,'Apólice Endosso'!D:XFD,23,0)</f>
        <v>0</v>
      </c>
      <c r="AV247" s="39" t="str">
        <f>VLOOKUP(N247,'Apólice Endosso'!D:XFD,28,0)</f>
        <v>Padrão (100%) sem blindagem - 150k - Contrato 2025</v>
      </c>
      <c r="AX247" s="40">
        <f>VLOOKUP(N247,'Apólice Endosso'!D:XFD,30,0)</f>
        <v>5050.3500000000004</v>
      </c>
      <c r="AY247" s="36">
        <v>1809.0308599999998</v>
      </c>
      <c r="AZ247" s="16">
        <v>5050.3500000000004</v>
      </c>
      <c r="BA247" s="16"/>
    </row>
    <row r="248" spans="1:53" x14ac:dyDescent="0.3">
      <c r="A248" t="s">
        <v>85</v>
      </c>
      <c r="B248" s="9">
        <v>46141</v>
      </c>
      <c r="C248">
        <v>0</v>
      </c>
      <c r="D248" t="s">
        <v>84</v>
      </c>
      <c r="E248">
        <v>2103</v>
      </c>
      <c r="F248">
        <v>2103</v>
      </c>
      <c r="G248"/>
      <c r="H248"/>
      <c r="J248" t="s">
        <v>149</v>
      </c>
      <c r="K248" t="s">
        <v>150</v>
      </c>
      <c r="L248" t="s">
        <v>751</v>
      </c>
      <c r="M248" t="s">
        <v>86</v>
      </c>
      <c r="N248" t="s">
        <v>752</v>
      </c>
      <c r="O248" t="s">
        <v>87</v>
      </c>
      <c r="P248" t="s">
        <v>89</v>
      </c>
      <c r="Q248" t="s">
        <v>90</v>
      </c>
      <c r="R248">
        <v>2026</v>
      </c>
      <c r="S248">
        <v>2026</v>
      </c>
      <c r="T248" t="s">
        <v>88</v>
      </c>
      <c r="U248">
        <v>85</v>
      </c>
      <c r="V248">
        <v>84669</v>
      </c>
      <c r="W248">
        <v>152.16</v>
      </c>
      <c r="X248">
        <v>420.86</v>
      </c>
      <c r="Y248">
        <v>0</v>
      </c>
      <c r="Z248">
        <v>65.209999999999994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12700.35</v>
      </c>
      <c r="AG248">
        <v>320000</v>
      </c>
      <c r="AH248">
        <v>150000</v>
      </c>
      <c r="AI248">
        <v>0</v>
      </c>
      <c r="AJ248">
        <v>150000</v>
      </c>
      <c r="AK248">
        <v>10000</v>
      </c>
      <c r="AL248">
        <v>10000</v>
      </c>
      <c r="AM248" s="42">
        <v>46113</v>
      </c>
      <c r="AN248" s="42">
        <v>46447</v>
      </c>
      <c r="AO248">
        <v>0</v>
      </c>
      <c r="AP248">
        <v>0</v>
      </c>
      <c r="AQ248">
        <v>0</v>
      </c>
      <c r="AR248" s="8">
        <f t="shared" si="7"/>
        <v>2391.0700000000002</v>
      </c>
      <c r="AS248" s="38">
        <f t="shared" si="8"/>
        <v>1797.2716762</v>
      </c>
      <c r="AT248" s="39" t="s">
        <v>173</v>
      </c>
      <c r="AU248" s="40">
        <f>VLOOKUP(N248,'Apólice Endosso'!D:XFD,23,0)</f>
        <v>0</v>
      </c>
      <c r="AV248" s="39" t="str">
        <f>VLOOKUP(N248,'Apólice Endosso'!D:XFD,28,0)</f>
        <v>Padrão (100%) sem blindagem - 150k - Contrato 2025</v>
      </c>
      <c r="AX248" s="40">
        <f>VLOOKUP(N248,'Apólice Endosso'!D:XFD,30,0)</f>
        <v>5050.3500000000004</v>
      </c>
      <c r="AY248" s="36">
        <v>1809.0308599999998</v>
      </c>
      <c r="AZ248" s="16">
        <v>5050.3500000000004</v>
      </c>
      <c r="BA248" s="16"/>
    </row>
    <row r="249" spans="1:53" x14ac:dyDescent="0.3">
      <c r="A249" t="s">
        <v>85</v>
      </c>
      <c r="B249" s="9">
        <v>46141</v>
      </c>
      <c r="C249">
        <v>0</v>
      </c>
      <c r="D249" t="s">
        <v>84</v>
      </c>
      <c r="E249">
        <v>2103</v>
      </c>
      <c r="F249">
        <v>2103</v>
      </c>
      <c r="G249"/>
      <c r="H249"/>
      <c r="J249" t="s">
        <v>149</v>
      </c>
      <c r="K249" t="s">
        <v>150</v>
      </c>
      <c r="L249" t="s">
        <v>753</v>
      </c>
      <c r="M249" t="s">
        <v>86</v>
      </c>
      <c r="N249" t="s">
        <v>754</v>
      </c>
      <c r="O249" t="s">
        <v>87</v>
      </c>
      <c r="P249" t="s">
        <v>89</v>
      </c>
      <c r="Q249" t="s">
        <v>90</v>
      </c>
      <c r="R249">
        <v>2026</v>
      </c>
      <c r="S249">
        <v>2026</v>
      </c>
      <c r="T249" t="s">
        <v>88</v>
      </c>
      <c r="U249">
        <v>85</v>
      </c>
      <c r="V249">
        <v>84669</v>
      </c>
      <c r="W249">
        <v>152.16</v>
      </c>
      <c r="X249">
        <v>420.86</v>
      </c>
      <c r="Y249">
        <v>0</v>
      </c>
      <c r="Z249">
        <v>65.209999999999994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12700.35</v>
      </c>
      <c r="AG249">
        <v>320000</v>
      </c>
      <c r="AH249">
        <v>150000</v>
      </c>
      <c r="AI249">
        <v>0</v>
      </c>
      <c r="AJ249">
        <v>150000</v>
      </c>
      <c r="AK249">
        <v>10000</v>
      </c>
      <c r="AL249">
        <v>10000</v>
      </c>
      <c r="AM249" s="42">
        <v>46113</v>
      </c>
      <c r="AN249" s="42">
        <v>46447</v>
      </c>
      <c r="AO249">
        <v>0</v>
      </c>
      <c r="AP249">
        <v>0</v>
      </c>
      <c r="AQ249">
        <v>0</v>
      </c>
      <c r="AR249" s="8">
        <f t="shared" si="7"/>
        <v>2391.0700000000002</v>
      </c>
      <c r="AS249" s="38">
        <f t="shared" si="8"/>
        <v>1797.2716762</v>
      </c>
      <c r="AT249" s="39" t="s">
        <v>173</v>
      </c>
      <c r="AU249" s="40">
        <f>VLOOKUP(N249,'Apólice Endosso'!D:XFD,23,0)</f>
        <v>0</v>
      </c>
      <c r="AV249" s="39" t="str">
        <f>VLOOKUP(N249,'Apólice Endosso'!D:XFD,28,0)</f>
        <v>Padrão (100%) sem blindagem - 150k - Contrato 2025</v>
      </c>
      <c r="AX249" s="40">
        <f>VLOOKUP(N249,'Apólice Endosso'!D:XFD,30,0)</f>
        <v>5050.3500000000004</v>
      </c>
      <c r="AY249" s="36">
        <v>1809.0308599999998</v>
      </c>
      <c r="AZ249" s="16">
        <v>5050.3500000000004</v>
      </c>
      <c r="BA249" s="16"/>
    </row>
    <row r="250" spans="1:53" x14ac:dyDescent="0.3">
      <c r="A250" t="s">
        <v>85</v>
      </c>
      <c r="B250" s="9">
        <v>46141</v>
      </c>
      <c r="C250">
        <v>0</v>
      </c>
      <c r="D250" t="s">
        <v>84</v>
      </c>
      <c r="E250">
        <v>2103</v>
      </c>
      <c r="F250">
        <v>2103</v>
      </c>
      <c r="G250"/>
      <c r="H250"/>
      <c r="J250" t="s">
        <v>149</v>
      </c>
      <c r="K250" t="s">
        <v>150</v>
      </c>
      <c r="L250" t="s">
        <v>755</v>
      </c>
      <c r="M250" t="s">
        <v>86</v>
      </c>
      <c r="N250" t="s">
        <v>756</v>
      </c>
      <c r="O250" t="s">
        <v>87</v>
      </c>
      <c r="P250" t="s">
        <v>89</v>
      </c>
      <c r="Q250" t="s">
        <v>90</v>
      </c>
      <c r="R250">
        <v>2026</v>
      </c>
      <c r="S250">
        <v>2026</v>
      </c>
      <c r="T250" t="s">
        <v>88</v>
      </c>
      <c r="U250">
        <v>85</v>
      </c>
      <c r="V250">
        <v>84669</v>
      </c>
      <c r="W250">
        <v>152.16</v>
      </c>
      <c r="X250">
        <v>420.86</v>
      </c>
      <c r="Y250">
        <v>0</v>
      </c>
      <c r="Z250">
        <v>65.209999999999994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12700.35</v>
      </c>
      <c r="AG250">
        <v>320000</v>
      </c>
      <c r="AH250">
        <v>150000</v>
      </c>
      <c r="AI250">
        <v>0</v>
      </c>
      <c r="AJ250">
        <v>150000</v>
      </c>
      <c r="AK250">
        <v>10000</v>
      </c>
      <c r="AL250">
        <v>10000</v>
      </c>
      <c r="AM250" s="42">
        <v>46113</v>
      </c>
      <c r="AN250" s="42">
        <v>46447</v>
      </c>
      <c r="AO250">
        <v>0</v>
      </c>
      <c r="AP250">
        <v>0</v>
      </c>
      <c r="AQ250">
        <v>0</v>
      </c>
      <c r="AR250" s="8">
        <f t="shared" si="7"/>
        <v>2391.0700000000002</v>
      </c>
      <c r="AS250" s="38">
        <f t="shared" si="8"/>
        <v>1797.2716762</v>
      </c>
      <c r="AT250" s="39" t="s">
        <v>173</v>
      </c>
      <c r="AU250" s="40">
        <f>VLOOKUP(N250,'Apólice Endosso'!D:XFD,23,0)</f>
        <v>0</v>
      </c>
      <c r="AV250" s="39" t="str">
        <f>VLOOKUP(N250,'Apólice Endosso'!D:XFD,28,0)</f>
        <v>Padrão (100%) sem blindagem - 150k - Contrato 2025</v>
      </c>
      <c r="AX250" s="40">
        <f>VLOOKUP(N250,'Apólice Endosso'!D:XFD,30,0)</f>
        <v>5050.3500000000004</v>
      </c>
      <c r="AY250" s="36">
        <v>1809.0308599999998</v>
      </c>
      <c r="AZ250" s="16">
        <v>5050.3500000000004</v>
      </c>
      <c r="BA250" s="16"/>
    </row>
    <row r="251" spans="1:53" x14ac:dyDescent="0.3">
      <c r="A251" t="s">
        <v>85</v>
      </c>
      <c r="B251" s="9">
        <v>46141</v>
      </c>
      <c r="C251">
        <v>0</v>
      </c>
      <c r="D251" t="s">
        <v>84</v>
      </c>
      <c r="E251">
        <v>2103</v>
      </c>
      <c r="F251">
        <v>2103</v>
      </c>
      <c r="G251"/>
      <c r="H251"/>
      <c r="J251" t="s">
        <v>149</v>
      </c>
      <c r="K251" t="s">
        <v>150</v>
      </c>
      <c r="L251" t="s">
        <v>757</v>
      </c>
      <c r="M251" t="s">
        <v>86</v>
      </c>
      <c r="N251" t="s">
        <v>758</v>
      </c>
      <c r="O251" t="s">
        <v>87</v>
      </c>
      <c r="P251" t="s">
        <v>89</v>
      </c>
      <c r="Q251" t="s">
        <v>90</v>
      </c>
      <c r="R251">
        <v>2026</v>
      </c>
      <c r="S251">
        <v>2026</v>
      </c>
      <c r="T251" t="s">
        <v>88</v>
      </c>
      <c r="U251">
        <v>85</v>
      </c>
      <c r="V251">
        <v>84669</v>
      </c>
      <c r="W251">
        <v>152.16</v>
      </c>
      <c r="X251">
        <v>420.86</v>
      </c>
      <c r="Y251">
        <v>0</v>
      </c>
      <c r="Z251">
        <v>65.209999999999994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12700.35</v>
      </c>
      <c r="AG251">
        <v>320000</v>
      </c>
      <c r="AH251">
        <v>150000</v>
      </c>
      <c r="AI251">
        <v>0</v>
      </c>
      <c r="AJ251">
        <v>150000</v>
      </c>
      <c r="AK251">
        <v>10000</v>
      </c>
      <c r="AL251">
        <v>10000</v>
      </c>
      <c r="AM251" s="42">
        <v>46113</v>
      </c>
      <c r="AN251" s="42">
        <v>46447</v>
      </c>
      <c r="AO251">
        <v>0</v>
      </c>
      <c r="AP251">
        <v>0</v>
      </c>
      <c r="AQ251">
        <v>0</v>
      </c>
      <c r="AR251" s="8">
        <f t="shared" si="7"/>
        <v>2391.0700000000002</v>
      </c>
      <c r="AS251" s="38">
        <f t="shared" si="8"/>
        <v>1797.2716762</v>
      </c>
      <c r="AT251" s="39" t="s">
        <v>173</v>
      </c>
      <c r="AU251" s="40">
        <f>VLOOKUP(N251,'Apólice Endosso'!D:XFD,23,0)</f>
        <v>0</v>
      </c>
      <c r="AV251" s="39" t="str">
        <f>VLOOKUP(N251,'Apólice Endosso'!D:XFD,28,0)</f>
        <v>Padrão (100%) sem blindagem - 150k - Contrato 2025</v>
      </c>
      <c r="AX251" s="40">
        <f>VLOOKUP(N251,'Apólice Endosso'!D:XFD,30,0)</f>
        <v>5050.3500000000004</v>
      </c>
      <c r="AY251" s="36">
        <v>1809.0308599999998</v>
      </c>
      <c r="AZ251" s="16">
        <v>5050.3500000000004</v>
      </c>
      <c r="BA251" s="16"/>
    </row>
    <row r="252" spans="1:53" x14ac:dyDescent="0.3">
      <c r="A252" t="s">
        <v>85</v>
      </c>
      <c r="B252" s="9">
        <v>46141</v>
      </c>
      <c r="C252">
        <v>0</v>
      </c>
      <c r="D252" t="s">
        <v>84</v>
      </c>
      <c r="E252">
        <v>2103</v>
      </c>
      <c r="F252">
        <v>2103</v>
      </c>
      <c r="G252"/>
      <c r="H252"/>
      <c r="J252" t="s">
        <v>149</v>
      </c>
      <c r="K252" t="s">
        <v>150</v>
      </c>
      <c r="L252" t="s">
        <v>759</v>
      </c>
      <c r="M252" t="s">
        <v>86</v>
      </c>
      <c r="N252" t="s">
        <v>760</v>
      </c>
      <c r="O252" t="s">
        <v>87</v>
      </c>
      <c r="P252" t="s">
        <v>89</v>
      </c>
      <c r="Q252" t="s">
        <v>90</v>
      </c>
      <c r="R252">
        <v>2026</v>
      </c>
      <c r="S252">
        <v>2026</v>
      </c>
      <c r="T252" t="s">
        <v>88</v>
      </c>
      <c r="U252">
        <v>85</v>
      </c>
      <c r="V252">
        <v>84669</v>
      </c>
      <c r="W252">
        <v>152.16</v>
      </c>
      <c r="X252">
        <v>420.86</v>
      </c>
      <c r="Y252">
        <v>0</v>
      </c>
      <c r="Z252">
        <v>65.209999999999994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12700.35</v>
      </c>
      <c r="AG252">
        <v>320000</v>
      </c>
      <c r="AH252">
        <v>150000</v>
      </c>
      <c r="AI252">
        <v>0</v>
      </c>
      <c r="AJ252">
        <v>150000</v>
      </c>
      <c r="AK252">
        <v>10000</v>
      </c>
      <c r="AL252">
        <v>10000</v>
      </c>
      <c r="AM252" s="42">
        <v>46113</v>
      </c>
      <c r="AN252" s="42">
        <v>46447</v>
      </c>
      <c r="AO252">
        <v>0</v>
      </c>
      <c r="AP252">
        <v>0</v>
      </c>
      <c r="AQ252">
        <v>0</v>
      </c>
      <c r="AR252" s="8">
        <f t="shared" si="7"/>
        <v>2391.0700000000002</v>
      </c>
      <c r="AS252" s="38">
        <f t="shared" si="8"/>
        <v>1797.2716762</v>
      </c>
      <c r="AT252" s="39" t="s">
        <v>173</v>
      </c>
      <c r="AU252" s="40">
        <f>VLOOKUP(N252,'Apólice Endosso'!D:XFD,23,0)</f>
        <v>0</v>
      </c>
      <c r="AV252" s="39" t="str">
        <f>VLOOKUP(N252,'Apólice Endosso'!D:XFD,28,0)</f>
        <v>Padrão (100%) sem blindagem - 150k - Contrato 2025</v>
      </c>
      <c r="AX252" s="40">
        <f>VLOOKUP(N252,'Apólice Endosso'!D:XFD,30,0)</f>
        <v>5050.3500000000004</v>
      </c>
      <c r="AY252" s="36">
        <v>1809.0308599999998</v>
      </c>
      <c r="AZ252" s="16">
        <v>5050.3500000000004</v>
      </c>
      <c r="BA252" s="16"/>
    </row>
    <row r="253" spans="1:53" x14ac:dyDescent="0.3">
      <c r="A253" t="s">
        <v>85</v>
      </c>
      <c r="B253" s="9">
        <v>46139</v>
      </c>
      <c r="C253">
        <v>0</v>
      </c>
      <c r="D253" t="s">
        <v>84</v>
      </c>
      <c r="E253">
        <v>2103</v>
      </c>
      <c r="F253">
        <v>2103</v>
      </c>
      <c r="G253"/>
      <c r="H253"/>
      <c r="J253" t="s">
        <v>578</v>
      </c>
      <c r="K253" t="s">
        <v>579</v>
      </c>
      <c r="L253" t="s">
        <v>761</v>
      </c>
      <c r="M253" t="s">
        <v>86</v>
      </c>
      <c r="N253" t="s">
        <v>762</v>
      </c>
      <c r="O253" t="s">
        <v>87</v>
      </c>
      <c r="P253" t="s">
        <v>89</v>
      </c>
      <c r="Q253" t="s">
        <v>90</v>
      </c>
      <c r="R253">
        <v>2026</v>
      </c>
      <c r="S253">
        <v>2026</v>
      </c>
      <c r="T253" t="s">
        <v>88</v>
      </c>
      <c r="U253">
        <v>85</v>
      </c>
      <c r="V253">
        <v>84669</v>
      </c>
      <c r="W253">
        <v>152.16</v>
      </c>
      <c r="X253">
        <v>420.86</v>
      </c>
      <c r="Y253">
        <v>0</v>
      </c>
      <c r="Z253">
        <v>65.209999999999994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12700.35</v>
      </c>
      <c r="AG253">
        <v>320000</v>
      </c>
      <c r="AH253">
        <v>150000</v>
      </c>
      <c r="AI253">
        <v>0</v>
      </c>
      <c r="AJ253">
        <v>150000</v>
      </c>
      <c r="AK253">
        <v>10000</v>
      </c>
      <c r="AL253">
        <v>10000</v>
      </c>
      <c r="AM253" s="42">
        <v>46113</v>
      </c>
      <c r="AN253" s="42">
        <v>46447</v>
      </c>
      <c r="AO253">
        <v>0</v>
      </c>
      <c r="AP253">
        <v>0</v>
      </c>
      <c r="AQ253">
        <v>0</v>
      </c>
      <c r="AR253" s="8">
        <f t="shared" si="7"/>
        <v>2391.0700000000002</v>
      </c>
      <c r="AS253" s="38">
        <f t="shared" si="8"/>
        <v>1797.2716762</v>
      </c>
      <c r="AT253" s="39" t="s">
        <v>859</v>
      </c>
      <c r="AU253" s="40">
        <f>VLOOKUP(N253,'Apólice Endosso'!D:XFD,23,0)</f>
        <v>0</v>
      </c>
      <c r="AV253" s="39" t="str">
        <f>VLOOKUP(N253,'Apólice Endosso'!D:XFD,28,0)</f>
        <v>Padrão (100%) sem blindagem - 150k - Contrato 2025</v>
      </c>
      <c r="AX253" s="40">
        <f>VLOOKUP(N253,'Apólice Endosso'!D:XFD,30,0)</f>
        <v>5050.3500000000004</v>
      </c>
      <c r="AY253" s="36">
        <v>1809.0308599999998</v>
      </c>
      <c r="AZ253" s="16">
        <v>5050.3500000000004</v>
      </c>
      <c r="BA253" s="16"/>
    </row>
    <row r="254" spans="1:53" x14ac:dyDescent="0.3">
      <c r="A254" t="s">
        <v>85</v>
      </c>
      <c r="B254" s="9">
        <v>46139</v>
      </c>
      <c r="C254">
        <v>0</v>
      </c>
      <c r="D254" t="s">
        <v>84</v>
      </c>
      <c r="E254">
        <v>2103</v>
      </c>
      <c r="F254">
        <v>2103</v>
      </c>
      <c r="G254"/>
      <c r="H254"/>
      <c r="J254" t="s">
        <v>578</v>
      </c>
      <c r="K254" t="s">
        <v>579</v>
      </c>
      <c r="L254" t="s">
        <v>763</v>
      </c>
      <c r="M254" t="s">
        <v>86</v>
      </c>
      <c r="N254" t="s">
        <v>764</v>
      </c>
      <c r="O254" t="s">
        <v>87</v>
      </c>
      <c r="P254" t="s">
        <v>89</v>
      </c>
      <c r="Q254" t="s">
        <v>90</v>
      </c>
      <c r="R254">
        <v>2026</v>
      </c>
      <c r="S254">
        <v>2026</v>
      </c>
      <c r="T254" t="s">
        <v>88</v>
      </c>
      <c r="U254">
        <v>85</v>
      </c>
      <c r="V254">
        <v>84669</v>
      </c>
      <c r="W254">
        <v>152.16</v>
      </c>
      <c r="X254">
        <v>420.86</v>
      </c>
      <c r="Y254">
        <v>0</v>
      </c>
      <c r="Z254">
        <v>65.209999999999994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12700.35</v>
      </c>
      <c r="AG254">
        <v>320000</v>
      </c>
      <c r="AH254">
        <v>150000</v>
      </c>
      <c r="AI254">
        <v>0</v>
      </c>
      <c r="AJ254">
        <v>150000</v>
      </c>
      <c r="AK254">
        <v>10000</v>
      </c>
      <c r="AL254">
        <v>10000</v>
      </c>
      <c r="AM254" s="42">
        <v>46113</v>
      </c>
      <c r="AN254" s="42">
        <v>46447</v>
      </c>
      <c r="AO254">
        <v>0</v>
      </c>
      <c r="AP254">
        <v>0</v>
      </c>
      <c r="AQ254">
        <v>0</v>
      </c>
      <c r="AR254" s="8">
        <f t="shared" si="7"/>
        <v>2391.0700000000002</v>
      </c>
      <c r="AS254" s="38">
        <f t="shared" si="8"/>
        <v>1797.2716762</v>
      </c>
      <c r="AT254" s="39" t="s">
        <v>859</v>
      </c>
      <c r="AU254" s="40">
        <f>VLOOKUP(N254,'Apólice Endosso'!D:XFD,23,0)</f>
        <v>0</v>
      </c>
      <c r="AV254" s="39" t="str">
        <f>VLOOKUP(N254,'Apólice Endosso'!D:XFD,28,0)</f>
        <v>Padrão (100%) sem blindagem - 150k - Contrato 2025</v>
      </c>
      <c r="AX254" s="40">
        <f>VLOOKUP(N254,'Apólice Endosso'!D:XFD,30,0)</f>
        <v>5050.3500000000004</v>
      </c>
      <c r="AY254" s="36">
        <v>1809.0308599999998</v>
      </c>
      <c r="AZ254" s="16">
        <v>5050.3500000000004</v>
      </c>
      <c r="BA254" s="16"/>
    </row>
    <row r="255" spans="1:53" x14ac:dyDescent="0.3">
      <c r="A255" t="s">
        <v>85</v>
      </c>
      <c r="B255" s="9">
        <v>46136</v>
      </c>
      <c r="C255">
        <v>0</v>
      </c>
      <c r="D255" t="s">
        <v>84</v>
      </c>
      <c r="E255">
        <v>2103</v>
      </c>
      <c r="F255">
        <v>2103</v>
      </c>
      <c r="G255"/>
      <c r="H255"/>
      <c r="J255" t="s">
        <v>157</v>
      </c>
      <c r="K255" t="s">
        <v>158</v>
      </c>
      <c r="L255" t="s">
        <v>177</v>
      </c>
      <c r="M255" t="s">
        <v>86</v>
      </c>
      <c r="N255" t="s">
        <v>176</v>
      </c>
      <c r="O255" t="s">
        <v>87</v>
      </c>
      <c r="P255" t="s">
        <v>141</v>
      </c>
      <c r="Q255" t="s">
        <v>159</v>
      </c>
      <c r="R255">
        <v>2024</v>
      </c>
      <c r="S255">
        <v>2024</v>
      </c>
      <c r="T255" t="s">
        <v>125</v>
      </c>
      <c r="U255">
        <v>85</v>
      </c>
      <c r="V255">
        <v>0</v>
      </c>
      <c r="W255">
        <v>289.45999999999998</v>
      </c>
      <c r="X255">
        <v>1819.58</v>
      </c>
      <c r="Y255">
        <v>0</v>
      </c>
      <c r="Z255">
        <v>124.05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620000</v>
      </c>
      <c r="AH255">
        <v>300000</v>
      </c>
      <c r="AI255">
        <v>0</v>
      </c>
      <c r="AJ255">
        <v>300000</v>
      </c>
      <c r="AK255">
        <v>10000</v>
      </c>
      <c r="AL255">
        <v>10000</v>
      </c>
      <c r="AM255" s="42">
        <v>46113</v>
      </c>
      <c r="AN255" s="42">
        <v>46447</v>
      </c>
      <c r="AO255">
        <v>0</v>
      </c>
      <c r="AP255">
        <v>0</v>
      </c>
      <c r="AQ255">
        <v>0</v>
      </c>
      <c r="AR255" s="8">
        <f t="shared" si="7"/>
        <v>4548.6099999999997</v>
      </c>
      <c r="AS255" s="38">
        <f t="shared" si="8"/>
        <v>3419.0081925999993</v>
      </c>
      <c r="AT255" s="39" t="s">
        <v>873</v>
      </c>
      <c r="AU255" s="40">
        <f>VLOOKUP(N255,'Apólice Endosso'!D:XFD,23,0)</f>
        <v>0</v>
      </c>
      <c r="AV255" s="39" t="str">
        <f>VLOOKUP(N255,'Apólice Endosso'!D:XFD,28,0)</f>
        <v>Padrão (100%) sem blindagem - 300k - Contrato 2025</v>
      </c>
      <c r="AX255" s="40">
        <f>VLOOKUP(N255,'Apólice Endosso'!D:XFD,30,0)</f>
        <v>21835</v>
      </c>
      <c r="AY255" s="36">
        <v>3292.9902459999989</v>
      </c>
      <c r="AZ255" s="16">
        <v>21835</v>
      </c>
      <c r="BA255" s="16"/>
    </row>
    <row r="256" spans="1:53" x14ac:dyDescent="0.3">
      <c r="A256" t="s">
        <v>85</v>
      </c>
      <c r="B256" s="9">
        <v>46139</v>
      </c>
      <c r="C256">
        <v>0</v>
      </c>
      <c r="D256" t="s">
        <v>84</v>
      </c>
      <c r="E256">
        <v>2103</v>
      </c>
      <c r="F256">
        <v>2103</v>
      </c>
      <c r="G256"/>
      <c r="H256"/>
      <c r="J256" t="s">
        <v>578</v>
      </c>
      <c r="K256" t="s">
        <v>579</v>
      </c>
      <c r="L256" t="s">
        <v>765</v>
      </c>
      <c r="M256" t="s">
        <v>86</v>
      </c>
      <c r="N256" t="s">
        <v>766</v>
      </c>
      <c r="O256" t="s">
        <v>87</v>
      </c>
      <c r="P256" t="s">
        <v>89</v>
      </c>
      <c r="Q256" t="s">
        <v>90</v>
      </c>
      <c r="R256">
        <v>2026</v>
      </c>
      <c r="S256">
        <v>2026</v>
      </c>
      <c r="T256" t="s">
        <v>88</v>
      </c>
      <c r="U256">
        <v>85</v>
      </c>
      <c r="V256">
        <v>84669</v>
      </c>
      <c r="W256">
        <v>152.16</v>
      </c>
      <c r="X256">
        <v>420.86</v>
      </c>
      <c r="Y256">
        <v>0</v>
      </c>
      <c r="Z256">
        <v>65.209999999999994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12700.35</v>
      </c>
      <c r="AG256">
        <v>320000</v>
      </c>
      <c r="AH256">
        <v>150000</v>
      </c>
      <c r="AI256">
        <v>0</v>
      </c>
      <c r="AJ256">
        <v>150000</v>
      </c>
      <c r="AK256">
        <v>10000</v>
      </c>
      <c r="AL256">
        <v>10000</v>
      </c>
      <c r="AM256" s="42">
        <v>46113</v>
      </c>
      <c r="AN256" s="42">
        <v>46447</v>
      </c>
      <c r="AO256">
        <v>0</v>
      </c>
      <c r="AP256">
        <v>0</v>
      </c>
      <c r="AQ256">
        <v>0</v>
      </c>
      <c r="AR256" s="8">
        <f t="shared" si="7"/>
        <v>2391.0700000000002</v>
      </c>
      <c r="AS256" s="38">
        <f t="shared" si="8"/>
        <v>1797.2716762</v>
      </c>
      <c r="AT256" s="39" t="s">
        <v>859</v>
      </c>
      <c r="AU256" s="40">
        <f>VLOOKUP(N256,'Apólice Endosso'!D:XFD,23,0)</f>
        <v>0</v>
      </c>
      <c r="AV256" s="39" t="str">
        <f>VLOOKUP(N256,'Apólice Endosso'!D:XFD,28,0)</f>
        <v>Padrão (100%) sem blindagem - 150k - Contrato 2025</v>
      </c>
      <c r="AX256" s="40">
        <f>VLOOKUP(N256,'Apólice Endosso'!D:XFD,30,0)</f>
        <v>5050.3500000000004</v>
      </c>
      <c r="AY256" s="36">
        <v>1809.0308599999998</v>
      </c>
      <c r="AZ256" s="16">
        <v>5050.3500000000004</v>
      </c>
      <c r="BA256" s="16"/>
    </row>
    <row r="257" spans="1:53" x14ac:dyDescent="0.3">
      <c r="A257" t="s">
        <v>85</v>
      </c>
      <c r="B257" s="9">
        <v>46142</v>
      </c>
      <c r="C257">
        <v>0</v>
      </c>
      <c r="D257" t="s">
        <v>84</v>
      </c>
      <c r="E257">
        <v>2103</v>
      </c>
      <c r="F257">
        <v>2103</v>
      </c>
      <c r="G257"/>
      <c r="H257"/>
      <c r="J257" t="s">
        <v>767</v>
      </c>
      <c r="K257" t="s">
        <v>768</v>
      </c>
      <c r="L257" t="s">
        <v>769</v>
      </c>
      <c r="M257" t="s">
        <v>86</v>
      </c>
      <c r="N257" t="s">
        <v>770</v>
      </c>
      <c r="O257" t="s">
        <v>87</v>
      </c>
      <c r="P257" t="s">
        <v>134</v>
      </c>
      <c r="Q257" t="s">
        <v>161</v>
      </c>
      <c r="R257">
        <v>2026</v>
      </c>
      <c r="S257">
        <v>2026</v>
      </c>
      <c r="T257" t="s">
        <v>135</v>
      </c>
      <c r="U257">
        <v>85</v>
      </c>
      <c r="V257">
        <v>133163</v>
      </c>
      <c r="W257">
        <v>194.31</v>
      </c>
      <c r="X257">
        <v>672.43</v>
      </c>
      <c r="Y257">
        <v>0</v>
      </c>
      <c r="Z257">
        <v>81.09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19974.45</v>
      </c>
      <c r="AG257">
        <v>620000</v>
      </c>
      <c r="AH257">
        <v>300000</v>
      </c>
      <c r="AI257">
        <v>0</v>
      </c>
      <c r="AJ257">
        <v>300000</v>
      </c>
      <c r="AK257">
        <v>10000</v>
      </c>
      <c r="AL257">
        <v>10000</v>
      </c>
      <c r="AM257" s="42">
        <v>46113</v>
      </c>
      <c r="AN257" s="42">
        <v>46447</v>
      </c>
      <c r="AO257">
        <v>0</v>
      </c>
      <c r="AP257">
        <v>0</v>
      </c>
      <c r="AQ257">
        <v>0</v>
      </c>
      <c r="AR257" s="8">
        <f t="shared" si="7"/>
        <v>3029.3999999999996</v>
      </c>
      <c r="AS257" s="38">
        <f t="shared" si="8"/>
        <v>2277.0788039999993</v>
      </c>
      <c r="AT257" s="39" t="s">
        <v>865</v>
      </c>
      <c r="AU257" s="40">
        <f>VLOOKUP(N257,'Apólice Endosso'!D:XFD,23,0)</f>
        <v>0</v>
      </c>
      <c r="AV257" s="39" t="str">
        <f>VLOOKUP(N257,'Apólice Endosso'!D:XFD,28,0)</f>
        <v>Padrão (100%) sem blindagem - 300k - Contrato 2025</v>
      </c>
      <c r="AX257" s="40">
        <f>VLOOKUP(N257,'Apólice Endosso'!D:XFD,30,0)</f>
        <v>8069.1</v>
      </c>
      <c r="AY257" s="36">
        <v>2248.0862039999993</v>
      </c>
      <c r="AZ257" s="16">
        <v>8069.1</v>
      </c>
      <c r="BA257" s="16"/>
    </row>
    <row r="258" spans="1:53" x14ac:dyDescent="0.3">
      <c r="A258" t="s">
        <v>85</v>
      </c>
      <c r="B258" s="9">
        <v>46142</v>
      </c>
      <c r="C258">
        <v>0</v>
      </c>
      <c r="D258" t="s">
        <v>84</v>
      </c>
      <c r="E258">
        <v>2103</v>
      </c>
      <c r="F258">
        <v>2103</v>
      </c>
      <c r="G258"/>
      <c r="H258"/>
      <c r="J258" t="s">
        <v>771</v>
      </c>
      <c r="K258" t="s">
        <v>772</v>
      </c>
      <c r="L258" t="s">
        <v>773</v>
      </c>
      <c r="M258" t="s">
        <v>86</v>
      </c>
      <c r="N258" t="s">
        <v>774</v>
      </c>
      <c r="O258" t="s">
        <v>87</v>
      </c>
      <c r="P258" t="s">
        <v>91</v>
      </c>
      <c r="Q258" t="s">
        <v>92</v>
      </c>
      <c r="R258">
        <v>2024</v>
      </c>
      <c r="S258">
        <v>2024</v>
      </c>
      <c r="T258" t="s">
        <v>93</v>
      </c>
      <c r="U258">
        <v>85</v>
      </c>
      <c r="V258">
        <v>0</v>
      </c>
      <c r="W258">
        <v>438.65</v>
      </c>
      <c r="X258">
        <v>2094.7199999999998</v>
      </c>
      <c r="Y258">
        <v>0</v>
      </c>
      <c r="Z258">
        <v>187.99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620000</v>
      </c>
      <c r="AH258">
        <v>300000</v>
      </c>
      <c r="AI258">
        <v>0</v>
      </c>
      <c r="AJ258">
        <v>300000</v>
      </c>
      <c r="AK258">
        <v>10000</v>
      </c>
      <c r="AL258">
        <v>10000</v>
      </c>
      <c r="AM258" s="42">
        <v>46113</v>
      </c>
      <c r="AN258" s="42">
        <v>46447</v>
      </c>
      <c r="AO258">
        <v>0</v>
      </c>
      <c r="AP258">
        <v>0</v>
      </c>
      <c r="AQ258">
        <v>0</v>
      </c>
      <c r="AR258" s="8">
        <f t="shared" si="7"/>
        <v>6893.04</v>
      </c>
      <c r="AS258" s="38">
        <f t="shared" si="8"/>
        <v>5181.2224464000001</v>
      </c>
      <c r="AT258" s="39" t="s">
        <v>874</v>
      </c>
      <c r="AU258" s="40">
        <f>VLOOKUP(N258,'Apólice Endosso'!D:XFD,23,0)</f>
        <v>103020</v>
      </c>
      <c r="AV258" s="39" t="str">
        <f>VLOOKUP(N258,'Apólice Endosso'!D:XFD,28,0)</f>
        <v>Padrão (100%) com blindagem - 300k - Contrato 2025</v>
      </c>
      <c r="AX258" s="40">
        <f>VLOOKUP(N258,'Apólice Endosso'!D:XFD,30,0)</f>
        <v>25136.6</v>
      </c>
      <c r="AY258" s="36">
        <v>5106.7995160000019</v>
      </c>
      <c r="AZ258" s="16">
        <v>25136.6</v>
      </c>
      <c r="BA258" s="16"/>
    </row>
    <row r="259" spans="1:53" x14ac:dyDescent="0.3">
      <c r="A259" t="s">
        <v>85</v>
      </c>
      <c r="B259" s="9">
        <v>46142</v>
      </c>
      <c r="C259">
        <v>0</v>
      </c>
      <c r="D259" t="s">
        <v>84</v>
      </c>
      <c r="E259">
        <v>2103</v>
      </c>
      <c r="F259">
        <v>2103</v>
      </c>
      <c r="G259"/>
      <c r="H259"/>
      <c r="J259" t="s">
        <v>416</v>
      </c>
      <c r="K259" t="s">
        <v>417</v>
      </c>
      <c r="L259" t="s">
        <v>775</v>
      </c>
      <c r="M259" t="s">
        <v>86</v>
      </c>
      <c r="N259" t="s">
        <v>776</v>
      </c>
      <c r="O259" t="s">
        <v>87</v>
      </c>
      <c r="P259" t="s">
        <v>89</v>
      </c>
      <c r="Q259" t="s">
        <v>90</v>
      </c>
      <c r="R259">
        <v>2026</v>
      </c>
      <c r="S259">
        <v>2026</v>
      </c>
      <c r="T259" t="s">
        <v>88</v>
      </c>
      <c r="U259">
        <v>85</v>
      </c>
      <c r="V259">
        <v>84669</v>
      </c>
      <c r="W259">
        <v>152.16</v>
      </c>
      <c r="X259">
        <v>420.86</v>
      </c>
      <c r="Y259">
        <v>0</v>
      </c>
      <c r="Z259">
        <v>65.209999999999994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12700.35</v>
      </c>
      <c r="AG259">
        <v>320000</v>
      </c>
      <c r="AH259">
        <v>150000</v>
      </c>
      <c r="AI259">
        <v>0</v>
      </c>
      <c r="AJ259">
        <v>150000</v>
      </c>
      <c r="AK259">
        <v>10000</v>
      </c>
      <c r="AL259">
        <v>10000</v>
      </c>
      <c r="AM259" s="42">
        <v>46113</v>
      </c>
      <c r="AN259" s="42">
        <v>46447</v>
      </c>
      <c r="AO259">
        <v>0</v>
      </c>
      <c r="AP259">
        <v>0</v>
      </c>
      <c r="AQ259">
        <v>0</v>
      </c>
      <c r="AR259" s="8">
        <f t="shared" si="7"/>
        <v>2391.0700000000002</v>
      </c>
      <c r="AS259" s="38">
        <f t="shared" si="8"/>
        <v>1797.2716762</v>
      </c>
      <c r="AT259" s="39" t="s">
        <v>864</v>
      </c>
      <c r="AU259" s="40">
        <f>VLOOKUP(N259,'Apólice Endosso'!D:XFD,23,0)</f>
        <v>0</v>
      </c>
      <c r="AV259" s="39" t="str">
        <f>VLOOKUP(N259,'Apólice Endosso'!D:XFD,28,0)</f>
        <v>Padrão (100%) sem blindagem - 150k - Contrato 2025</v>
      </c>
      <c r="AX259" s="40">
        <f>VLOOKUP(N259,'Apólice Endosso'!D:XFD,30,0)</f>
        <v>5050.3500000000004</v>
      </c>
      <c r="AY259" s="36">
        <v>1809.0308599999998</v>
      </c>
      <c r="AZ259" s="16">
        <v>5050.3500000000004</v>
      </c>
      <c r="BA259" s="16"/>
    </row>
    <row r="260" spans="1:53" x14ac:dyDescent="0.3">
      <c r="A260" t="s">
        <v>85</v>
      </c>
      <c r="B260" s="9">
        <v>46142</v>
      </c>
      <c r="C260">
        <v>0</v>
      </c>
      <c r="D260" t="s">
        <v>84</v>
      </c>
      <c r="E260">
        <v>2103</v>
      </c>
      <c r="F260">
        <v>2103</v>
      </c>
      <c r="G260"/>
      <c r="H260"/>
      <c r="J260" t="s">
        <v>542</v>
      </c>
      <c r="K260" t="s">
        <v>543</v>
      </c>
      <c r="L260" t="s">
        <v>777</v>
      </c>
      <c r="M260" t="s">
        <v>86</v>
      </c>
      <c r="N260" t="s">
        <v>778</v>
      </c>
      <c r="O260" t="s">
        <v>87</v>
      </c>
      <c r="P260" t="s">
        <v>89</v>
      </c>
      <c r="Q260" t="s">
        <v>90</v>
      </c>
      <c r="R260">
        <v>2026</v>
      </c>
      <c r="S260">
        <v>2026</v>
      </c>
      <c r="T260" t="s">
        <v>88</v>
      </c>
      <c r="U260">
        <v>85</v>
      </c>
      <c r="V260">
        <v>84669</v>
      </c>
      <c r="W260">
        <v>152.16</v>
      </c>
      <c r="X260">
        <v>420.86</v>
      </c>
      <c r="Y260">
        <v>0</v>
      </c>
      <c r="Z260">
        <v>65.209999999999994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12700.35</v>
      </c>
      <c r="AG260">
        <v>320000</v>
      </c>
      <c r="AH260">
        <v>150000</v>
      </c>
      <c r="AI260">
        <v>0</v>
      </c>
      <c r="AJ260">
        <v>150000</v>
      </c>
      <c r="AK260">
        <v>10000</v>
      </c>
      <c r="AL260">
        <v>10000</v>
      </c>
      <c r="AM260" s="42">
        <v>46113</v>
      </c>
      <c r="AN260" s="42">
        <v>46447</v>
      </c>
      <c r="AO260">
        <v>0</v>
      </c>
      <c r="AP260">
        <v>0</v>
      </c>
      <c r="AQ260">
        <v>0</v>
      </c>
      <c r="AR260" s="8">
        <f t="shared" ref="AR260:AR279" si="9">((W260+Z260)*11)</f>
        <v>2391.0700000000002</v>
      </c>
      <c r="AS260" s="38">
        <f t="shared" si="8"/>
        <v>1797.2716762</v>
      </c>
      <c r="AT260" s="39" t="s">
        <v>864</v>
      </c>
      <c r="AU260" s="40">
        <f>VLOOKUP(N260,'Apólice Endosso'!D:XFD,23,0)</f>
        <v>0</v>
      </c>
      <c r="AV260" s="39" t="str">
        <f>VLOOKUP(N260,'Apólice Endosso'!D:XFD,28,0)</f>
        <v>Padrão (100%) sem blindagem - 150k - Contrato 2025</v>
      </c>
      <c r="AX260" s="40">
        <f>VLOOKUP(N260,'Apólice Endosso'!D:XFD,30,0)</f>
        <v>5050.3500000000004</v>
      </c>
      <c r="AY260" s="36">
        <v>1809.0308599999998</v>
      </c>
      <c r="AZ260" s="16">
        <v>5050.3500000000004</v>
      </c>
      <c r="BA260" s="16"/>
    </row>
    <row r="261" spans="1:53" x14ac:dyDescent="0.3">
      <c r="A261" t="s">
        <v>85</v>
      </c>
      <c r="B261" s="9">
        <v>46142</v>
      </c>
      <c r="C261">
        <v>0</v>
      </c>
      <c r="D261" t="s">
        <v>84</v>
      </c>
      <c r="E261">
        <v>2103</v>
      </c>
      <c r="F261">
        <v>2103</v>
      </c>
      <c r="G261"/>
      <c r="H261"/>
      <c r="J261" t="s">
        <v>542</v>
      </c>
      <c r="K261" t="s">
        <v>543</v>
      </c>
      <c r="L261" t="s">
        <v>779</v>
      </c>
      <c r="M261" t="s">
        <v>86</v>
      </c>
      <c r="N261" t="s">
        <v>780</v>
      </c>
      <c r="O261" t="s">
        <v>87</v>
      </c>
      <c r="P261" t="s">
        <v>89</v>
      </c>
      <c r="Q261" t="s">
        <v>90</v>
      </c>
      <c r="R261">
        <v>2026</v>
      </c>
      <c r="S261">
        <v>2026</v>
      </c>
      <c r="T261" t="s">
        <v>88</v>
      </c>
      <c r="U261">
        <v>85</v>
      </c>
      <c r="V261">
        <v>84669</v>
      </c>
      <c r="W261">
        <v>152.16</v>
      </c>
      <c r="X261">
        <v>420.86</v>
      </c>
      <c r="Y261">
        <v>0</v>
      </c>
      <c r="Z261">
        <v>65.209999999999994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12700.35</v>
      </c>
      <c r="AG261">
        <v>320000</v>
      </c>
      <c r="AH261">
        <v>150000</v>
      </c>
      <c r="AI261">
        <v>0</v>
      </c>
      <c r="AJ261">
        <v>150000</v>
      </c>
      <c r="AK261">
        <v>10000</v>
      </c>
      <c r="AL261">
        <v>10000</v>
      </c>
      <c r="AM261" s="42">
        <v>46113</v>
      </c>
      <c r="AN261" s="42">
        <v>46447</v>
      </c>
      <c r="AO261">
        <v>0</v>
      </c>
      <c r="AP261">
        <v>0</v>
      </c>
      <c r="AQ261">
        <v>0</v>
      </c>
      <c r="AR261" s="8">
        <f t="shared" si="9"/>
        <v>2391.0700000000002</v>
      </c>
      <c r="AS261" s="38">
        <f t="shared" si="8"/>
        <v>1797.2716762</v>
      </c>
      <c r="AT261" s="39" t="s">
        <v>864</v>
      </c>
      <c r="AU261" s="40">
        <f>VLOOKUP(N261,'Apólice Endosso'!D:XFD,23,0)</f>
        <v>0</v>
      </c>
      <c r="AV261" s="39" t="str">
        <f>VLOOKUP(N261,'Apólice Endosso'!D:XFD,28,0)</f>
        <v>Padrão (100%) sem blindagem - 150k - Contrato 2025</v>
      </c>
      <c r="AX261" s="40">
        <f>VLOOKUP(N261,'Apólice Endosso'!D:XFD,30,0)</f>
        <v>5050.3500000000004</v>
      </c>
      <c r="AY261" s="36">
        <v>1809.0308599999998</v>
      </c>
      <c r="AZ261" s="16">
        <v>5050.3500000000004</v>
      </c>
      <c r="BA261" s="16"/>
    </row>
    <row r="262" spans="1:53" x14ac:dyDescent="0.3">
      <c r="A262" t="s">
        <v>85</v>
      </c>
      <c r="B262" s="9">
        <v>46142</v>
      </c>
      <c r="C262">
        <v>0</v>
      </c>
      <c r="D262" t="s">
        <v>84</v>
      </c>
      <c r="E262">
        <v>2103</v>
      </c>
      <c r="F262">
        <v>2103</v>
      </c>
      <c r="G262"/>
      <c r="H262"/>
      <c r="J262" t="s">
        <v>142</v>
      </c>
      <c r="K262" t="s">
        <v>143</v>
      </c>
      <c r="L262" t="s">
        <v>781</v>
      </c>
      <c r="M262" t="s">
        <v>86</v>
      </c>
      <c r="N262" t="s">
        <v>782</v>
      </c>
      <c r="O262" t="s">
        <v>87</v>
      </c>
      <c r="P262" t="s">
        <v>126</v>
      </c>
      <c r="Q262" t="s">
        <v>160</v>
      </c>
      <c r="R262">
        <v>2026</v>
      </c>
      <c r="S262">
        <v>2026</v>
      </c>
      <c r="T262" t="s">
        <v>127</v>
      </c>
      <c r="U262">
        <v>85</v>
      </c>
      <c r="V262">
        <v>97320</v>
      </c>
      <c r="W262">
        <v>173.21</v>
      </c>
      <c r="X262">
        <v>479.1</v>
      </c>
      <c r="Y262">
        <v>0</v>
      </c>
      <c r="Z262">
        <v>74.23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14598</v>
      </c>
      <c r="AG262">
        <v>320000</v>
      </c>
      <c r="AH262">
        <v>150000</v>
      </c>
      <c r="AI262">
        <v>0</v>
      </c>
      <c r="AJ262">
        <v>150000</v>
      </c>
      <c r="AK262">
        <v>10000</v>
      </c>
      <c r="AL262">
        <v>10000</v>
      </c>
      <c r="AM262" s="42">
        <v>46113</v>
      </c>
      <c r="AN262" s="42">
        <v>46447</v>
      </c>
      <c r="AO262">
        <v>0</v>
      </c>
      <c r="AP262">
        <v>0</v>
      </c>
      <c r="AQ262">
        <v>0</v>
      </c>
      <c r="AR262" s="8">
        <f t="shared" si="9"/>
        <v>2721.84</v>
      </c>
      <c r="AS262" s="38">
        <f t="shared" si="8"/>
        <v>2045.8982544</v>
      </c>
      <c r="AT262" s="39" t="s">
        <v>171</v>
      </c>
      <c r="AU262" s="40">
        <f>VLOOKUP(N262,'Apólice Endosso'!D:XFD,23,0)</f>
        <v>0</v>
      </c>
      <c r="AV262" s="39" t="str">
        <f>VLOOKUP(N262,'Apólice Endosso'!D:XFD,28,0)</f>
        <v>Padrão (100%) sem blindagem - 150k - Contrato 2025</v>
      </c>
      <c r="AX262" s="40">
        <f>VLOOKUP(N262,'Apólice Endosso'!D:XFD,30,0)</f>
        <v>5749.2</v>
      </c>
      <c r="AY262" s="36">
        <v>2036.5261279999997</v>
      </c>
      <c r="AZ262" s="16">
        <v>5749.2</v>
      </c>
      <c r="BA262" s="16"/>
    </row>
    <row r="263" spans="1:53" x14ac:dyDescent="0.3">
      <c r="A263" t="s">
        <v>85</v>
      </c>
      <c r="B263" s="9">
        <v>46142</v>
      </c>
      <c r="C263">
        <v>0</v>
      </c>
      <c r="D263" t="s">
        <v>84</v>
      </c>
      <c r="E263">
        <v>2103</v>
      </c>
      <c r="F263">
        <v>2103</v>
      </c>
      <c r="G263"/>
      <c r="H263"/>
      <c r="J263" t="s">
        <v>783</v>
      </c>
      <c r="K263" t="s">
        <v>784</v>
      </c>
      <c r="L263" t="s">
        <v>785</v>
      </c>
      <c r="M263" t="s">
        <v>86</v>
      </c>
      <c r="N263" t="s">
        <v>786</v>
      </c>
      <c r="O263" t="s">
        <v>87</v>
      </c>
      <c r="P263" t="s">
        <v>94</v>
      </c>
      <c r="Q263" t="s">
        <v>95</v>
      </c>
      <c r="R263">
        <v>2026</v>
      </c>
      <c r="S263">
        <v>2026</v>
      </c>
      <c r="T263" t="s">
        <v>96</v>
      </c>
      <c r="U263">
        <v>85</v>
      </c>
      <c r="V263">
        <v>128041</v>
      </c>
      <c r="W263">
        <v>189.37</v>
      </c>
      <c r="X263">
        <v>581.54</v>
      </c>
      <c r="Y263">
        <v>0</v>
      </c>
      <c r="Z263">
        <v>81.16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19206.150000000001</v>
      </c>
      <c r="AG263">
        <v>320000</v>
      </c>
      <c r="AH263">
        <v>150000</v>
      </c>
      <c r="AI263">
        <v>0</v>
      </c>
      <c r="AJ263">
        <v>150000</v>
      </c>
      <c r="AK263">
        <v>10000</v>
      </c>
      <c r="AL263">
        <v>10000</v>
      </c>
      <c r="AM263" s="42">
        <v>46113</v>
      </c>
      <c r="AN263" s="42">
        <v>46447</v>
      </c>
      <c r="AO263">
        <v>0</v>
      </c>
      <c r="AP263">
        <v>0</v>
      </c>
      <c r="AQ263">
        <v>0</v>
      </c>
      <c r="AR263" s="8">
        <f t="shared" si="9"/>
        <v>2975.83</v>
      </c>
      <c r="AS263" s="38">
        <f t="shared" si="8"/>
        <v>2236.8123777999995</v>
      </c>
      <c r="AT263" s="39" t="s">
        <v>875</v>
      </c>
      <c r="AU263" s="40">
        <f>VLOOKUP(N263,'Apólice Endosso'!D:XFD,23,0)</f>
        <v>0</v>
      </c>
      <c r="AV263" s="39" t="str">
        <f>VLOOKUP(N263,'Apólice Endosso'!D:XFD,28,0)</f>
        <v>Padrão (100%) sem blindagem - 150k - Contrato 2025</v>
      </c>
      <c r="AX263" s="40">
        <f>VLOOKUP(N263,'Apólice Endosso'!D:XFD,30,0)</f>
        <v>6978.5</v>
      </c>
      <c r="AY263" s="36">
        <v>2211.2226499999997</v>
      </c>
      <c r="AZ263" s="16">
        <v>6978.5</v>
      </c>
      <c r="BA263" s="16"/>
    </row>
    <row r="264" spans="1:53" x14ac:dyDescent="0.3">
      <c r="A264" t="s">
        <v>85</v>
      </c>
      <c r="B264" s="9">
        <v>46142</v>
      </c>
      <c r="C264">
        <v>0</v>
      </c>
      <c r="D264" t="s">
        <v>84</v>
      </c>
      <c r="E264">
        <v>2103</v>
      </c>
      <c r="F264">
        <v>2103</v>
      </c>
      <c r="G264"/>
      <c r="H264"/>
      <c r="J264" t="s">
        <v>149</v>
      </c>
      <c r="K264" t="s">
        <v>150</v>
      </c>
      <c r="L264" t="s">
        <v>787</v>
      </c>
      <c r="M264" t="s">
        <v>86</v>
      </c>
      <c r="N264" t="s">
        <v>788</v>
      </c>
      <c r="O264" t="s">
        <v>87</v>
      </c>
      <c r="P264" t="s">
        <v>89</v>
      </c>
      <c r="Q264" t="s">
        <v>90</v>
      </c>
      <c r="R264">
        <v>2026</v>
      </c>
      <c r="S264">
        <v>2026</v>
      </c>
      <c r="T264" t="s">
        <v>88</v>
      </c>
      <c r="U264">
        <v>85</v>
      </c>
      <c r="V264">
        <v>84669</v>
      </c>
      <c r="W264">
        <v>152.16</v>
      </c>
      <c r="X264">
        <v>420.86</v>
      </c>
      <c r="Y264">
        <v>0</v>
      </c>
      <c r="Z264">
        <v>65.209999999999994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12700.35</v>
      </c>
      <c r="AG264">
        <v>320000</v>
      </c>
      <c r="AH264">
        <v>150000</v>
      </c>
      <c r="AI264">
        <v>0</v>
      </c>
      <c r="AJ264">
        <v>150000</v>
      </c>
      <c r="AK264">
        <v>10000</v>
      </c>
      <c r="AL264">
        <v>10000</v>
      </c>
      <c r="AM264" s="42">
        <v>46113</v>
      </c>
      <c r="AN264" s="42">
        <v>46447</v>
      </c>
      <c r="AO264">
        <v>0</v>
      </c>
      <c r="AP264">
        <v>0</v>
      </c>
      <c r="AQ264">
        <v>0</v>
      </c>
      <c r="AR264" s="8">
        <f t="shared" si="9"/>
        <v>2391.0700000000002</v>
      </c>
      <c r="AS264" s="38">
        <f t="shared" si="8"/>
        <v>1797.2716762</v>
      </c>
      <c r="AT264" s="39" t="s">
        <v>173</v>
      </c>
      <c r="AU264" s="40">
        <f>VLOOKUP(N264,'Apólice Endosso'!D:XFD,23,0)</f>
        <v>0</v>
      </c>
      <c r="AV264" s="39" t="str">
        <f>VLOOKUP(N264,'Apólice Endosso'!D:XFD,28,0)</f>
        <v>Padrão (100%) sem blindagem - 150k - Contrato 2025</v>
      </c>
      <c r="AX264" s="40">
        <f>VLOOKUP(N264,'Apólice Endosso'!D:XFD,30,0)</f>
        <v>5050.3500000000004</v>
      </c>
      <c r="AY264" s="36">
        <v>1809.0308599999998</v>
      </c>
      <c r="AZ264" s="16">
        <v>5050.3500000000004</v>
      </c>
      <c r="BA264" s="16"/>
    </row>
    <row r="265" spans="1:53" x14ac:dyDescent="0.3">
      <c r="A265" t="s">
        <v>85</v>
      </c>
      <c r="B265" s="9">
        <v>46142</v>
      </c>
      <c r="C265">
        <v>0</v>
      </c>
      <c r="D265" t="s">
        <v>84</v>
      </c>
      <c r="E265">
        <v>2103</v>
      </c>
      <c r="F265">
        <v>2103</v>
      </c>
      <c r="G265"/>
      <c r="H265"/>
      <c r="J265" t="s">
        <v>149</v>
      </c>
      <c r="K265" t="s">
        <v>150</v>
      </c>
      <c r="L265" t="s">
        <v>789</v>
      </c>
      <c r="M265" t="s">
        <v>86</v>
      </c>
      <c r="N265" t="s">
        <v>790</v>
      </c>
      <c r="O265" t="s">
        <v>87</v>
      </c>
      <c r="P265" t="s">
        <v>89</v>
      </c>
      <c r="Q265" t="s">
        <v>90</v>
      </c>
      <c r="R265">
        <v>2026</v>
      </c>
      <c r="S265">
        <v>2026</v>
      </c>
      <c r="T265" t="s">
        <v>88</v>
      </c>
      <c r="U265">
        <v>85</v>
      </c>
      <c r="V265">
        <v>84669</v>
      </c>
      <c r="W265">
        <v>152.16</v>
      </c>
      <c r="X265">
        <v>420.86</v>
      </c>
      <c r="Y265">
        <v>0</v>
      </c>
      <c r="Z265">
        <v>65.209999999999994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12700.35</v>
      </c>
      <c r="AG265">
        <v>320000</v>
      </c>
      <c r="AH265">
        <v>150000</v>
      </c>
      <c r="AI265">
        <v>0</v>
      </c>
      <c r="AJ265">
        <v>150000</v>
      </c>
      <c r="AK265">
        <v>10000</v>
      </c>
      <c r="AL265">
        <v>10000</v>
      </c>
      <c r="AM265" s="42">
        <v>46113</v>
      </c>
      <c r="AN265" s="42">
        <v>46447</v>
      </c>
      <c r="AO265">
        <v>0</v>
      </c>
      <c r="AP265">
        <v>0</v>
      </c>
      <c r="AQ265">
        <v>0</v>
      </c>
      <c r="AR265" s="8">
        <f t="shared" si="9"/>
        <v>2391.0700000000002</v>
      </c>
      <c r="AS265" s="38">
        <f t="shared" si="8"/>
        <v>1797.2716762</v>
      </c>
      <c r="AT265" s="39" t="s">
        <v>173</v>
      </c>
      <c r="AU265" s="40">
        <f>VLOOKUP(N265,'Apólice Endosso'!D:XFD,23,0)</f>
        <v>0</v>
      </c>
      <c r="AV265" s="39" t="str">
        <f>VLOOKUP(N265,'Apólice Endosso'!D:XFD,28,0)</f>
        <v>Padrão (100%) sem blindagem - 150k - Contrato 2025</v>
      </c>
      <c r="AX265" s="40">
        <f>VLOOKUP(N265,'Apólice Endosso'!D:XFD,30,0)</f>
        <v>5050.3500000000004</v>
      </c>
      <c r="AY265" s="36">
        <v>1809.0308599999998</v>
      </c>
      <c r="AZ265" s="16">
        <v>5050.3500000000004</v>
      </c>
      <c r="BA265" s="16"/>
    </row>
    <row r="266" spans="1:53" x14ac:dyDescent="0.3">
      <c r="A266" t="s">
        <v>85</v>
      </c>
      <c r="B266" s="9">
        <v>46142</v>
      </c>
      <c r="C266">
        <v>0</v>
      </c>
      <c r="D266" t="s">
        <v>84</v>
      </c>
      <c r="E266">
        <v>2103</v>
      </c>
      <c r="F266">
        <v>2103</v>
      </c>
      <c r="G266"/>
      <c r="H266"/>
      <c r="J266" t="s">
        <v>149</v>
      </c>
      <c r="K266" t="s">
        <v>150</v>
      </c>
      <c r="L266" t="s">
        <v>791</v>
      </c>
      <c r="M266" t="s">
        <v>86</v>
      </c>
      <c r="N266" t="s">
        <v>792</v>
      </c>
      <c r="O266" t="s">
        <v>87</v>
      </c>
      <c r="P266" t="s">
        <v>89</v>
      </c>
      <c r="Q266" t="s">
        <v>90</v>
      </c>
      <c r="R266">
        <v>2026</v>
      </c>
      <c r="S266">
        <v>2026</v>
      </c>
      <c r="T266" t="s">
        <v>88</v>
      </c>
      <c r="U266">
        <v>85</v>
      </c>
      <c r="V266">
        <v>84669</v>
      </c>
      <c r="W266">
        <v>152.16</v>
      </c>
      <c r="X266">
        <v>420.86</v>
      </c>
      <c r="Y266">
        <v>0</v>
      </c>
      <c r="Z266">
        <v>65.209999999999994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12700.35</v>
      </c>
      <c r="AG266">
        <v>320000</v>
      </c>
      <c r="AH266">
        <v>150000</v>
      </c>
      <c r="AI266">
        <v>0</v>
      </c>
      <c r="AJ266">
        <v>150000</v>
      </c>
      <c r="AK266">
        <v>10000</v>
      </c>
      <c r="AL266">
        <v>10000</v>
      </c>
      <c r="AM266" s="42">
        <v>46113</v>
      </c>
      <c r="AN266" s="42">
        <v>46447</v>
      </c>
      <c r="AO266">
        <v>0</v>
      </c>
      <c r="AP266">
        <v>0</v>
      </c>
      <c r="AQ266">
        <v>0</v>
      </c>
      <c r="AR266" s="8">
        <f t="shared" si="9"/>
        <v>2391.0700000000002</v>
      </c>
      <c r="AS266" s="38">
        <f t="shared" si="8"/>
        <v>1797.2716762</v>
      </c>
      <c r="AT266" s="39" t="s">
        <v>173</v>
      </c>
      <c r="AU266" s="40">
        <f>VLOOKUP(N266,'Apólice Endosso'!D:XFD,23,0)</f>
        <v>0</v>
      </c>
      <c r="AV266" s="39" t="str">
        <f>VLOOKUP(N266,'Apólice Endosso'!D:XFD,28,0)</f>
        <v>Padrão (100%) sem blindagem - 150k - Contrato 2025</v>
      </c>
      <c r="AX266" s="40">
        <f>VLOOKUP(N266,'Apólice Endosso'!D:XFD,30,0)</f>
        <v>5050.3500000000004</v>
      </c>
      <c r="AY266" s="36">
        <v>1809.0308599999998</v>
      </c>
      <c r="AZ266" s="16">
        <v>5050.3500000000004</v>
      </c>
      <c r="BA266" s="16"/>
    </row>
    <row r="267" spans="1:53" x14ac:dyDescent="0.3">
      <c r="A267" t="s">
        <v>85</v>
      </c>
      <c r="B267" s="9">
        <v>46142</v>
      </c>
      <c r="C267">
        <v>0</v>
      </c>
      <c r="D267" t="s">
        <v>84</v>
      </c>
      <c r="E267">
        <v>2103</v>
      </c>
      <c r="F267">
        <v>2103</v>
      </c>
      <c r="G267"/>
      <c r="H267"/>
      <c r="J267" t="s">
        <v>149</v>
      </c>
      <c r="K267" t="s">
        <v>150</v>
      </c>
      <c r="L267" t="s">
        <v>793</v>
      </c>
      <c r="M267" t="s">
        <v>86</v>
      </c>
      <c r="N267" t="s">
        <v>794</v>
      </c>
      <c r="O267" t="s">
        <v>87</v>
      </c>
      <c r="P267" t="s">
        <v>89</v>
      </c>
      <c r="Q267" t="s">
        <v>90</v>
      </c>
      <c r="R267">
        <v>2026</v>
      </c>
      <c r="S267">
        <v>2026</v>
      </c>
      <c r="T267" t="s">
        <v>88</v>
      </c>
      <c r="U267">
        <v>85</v>
      </c>
      <c r="V267">
        <v>84669</v>
      </c>
      <c r="W267">
        <v>152.16</v>
      </c>
      <c r="X267">
        <v>420.86</v>
      </c>
      <c r="Y267">
        <v>0</v>
      </c>
      <c r="Z267">
        <v>65.209999999999994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12700.35</v>
      </c>
      <c r="AG267">
        <v>320000</v>
      </c>
      <c r="AH267">
        <v>150000</v>
      </c>
      <c r="AI267">
        <v>0</v>
      </c>
      <c r="AJ267">
        <v>150000</v>
      </c>
      <c r="AK267">
        <v>10000</v>
      </c>
      <c r="AL267">
        <v>10000</v>
      </c>
      <c r="AM267" s="42">
        <v>46113</v>
      </c>
      <c r="AN267" s="42">
        <v>46447</v>
      </c>
      <c r="AO267">
        <v>0</v>
      </c>
      <c r="AP267">
        <v>0</v>
      </c>
      <c r="AQ267">
        <v>0</v>
      </c>
      <c r="AR267" s="8">
        <f t="shared" si="9"/>
        <v>2391.0700000000002</v>
      </c>
      <c r="AS267" s="38">
        <f t="shared" si="8"/>
        <v>1797.2716762</v>
      </c>
      <c r="AT267" s="39" t="s">
        <v>173</v>
      </c>
      <c r="AU267" s="40">
        <f>VLOOKUP(N267,'Apólice Endosso'!D:XFD,23,0)</f>
        <v>0</v>
      </c>
      <c r="AV267" s="39" t="str">
        <f>VLOOKUP(N267,'Apólice Endosso'!D:XFD,28,0)</f>
        <v>Padrão (100%) sem blindagem - 150k - Contrato 2025</v>
      </c>
      <c r="AX267" s="40">
        <f>VLOOKUP(N267,'Apólice Endosso'!D:XFD,30,0)</f>
        <v>5050.3500000000004</v>
      </c>
      <c r="AY267" s="36">
        <v>1809.0308599999998</v>
      </c>
      <c r="AZ267" s="16">
        <v>5050.3500000000004</v>
      </c>
      <c r="BA267" s="16"/>
    </row>
    <row r="268" spans="1:53" x14ac:dyDescent="0.3">
      <c r="A268" t="s">
        <v>85</v>
      </c>
      <c r="B268" s="9">
        <v>46142</v>
      </c>
      <c r="C268">
        <v>0</v>
      </c>
      <c r="D268" t="s">
        <v>84</v>
      </c>
      <c r="E268">
        <v>2103</v>
      </c>
      <c r="F268">
        <v>2103</v>
      </c>
      <c r="G268"/>
      <c r="H268"/>
      <c r="J268" t="s">
        <v>149</v>
      </c>
      <c r="K268" t="s">
        <v>150</v>
      </c>
      <c r="L268" t="s">
        <v>795</v>
      </c>
      <c r="M268" t="s">
        <v>86</v>
      </c>
      <c r="N268" t="s">
        <v>796</v>
      </c>
      <c r="O268" t="s">
        <v>87</v>
      </c>
      <c r="P268" t="s">
        <v>89</v>
      </c>
      <c r="Q268" t="s">
        <v>90</v>
      </c>
      <c r="R268">
        <v>2026</v>
      </c>
      <c r="S268">
        <v>2026</v>
      </c>
      <c r="T268" t="s">
        <v>88</v>
      </c>
      <c r="U268">
        <v>85</v>
      </c>
      <c r="V268">
        <v>84669</v>
      </c>
      <c r="W268">
        <v>152.16</v>
      </c>
      <c r="X268">
        <v>420.86</v>
      </c>
      <c r="Y268">
        <v>0</v>
      </c>
      <c r="Z268">
        <v>65.209999999999994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12700.35</v>
      </c>
      <c r="AG268">
        <v>320000</v>
      </c>
      <c r="AH268">
        <v>150000</v>
      </c>
      <c r="AI268">
        <v>0</v>
      </c>
      <c r="AJ268">
        <v>150000</v>
      </c>
      <c r="AK268">
        <v>10000</v>
      </c>
      <c r="AL268">
        <v>10000</v>
      </c>
      <c r="AM268" s="42">
        <v>46113</v>
      </c>
      <c r="AN268" s="42">
        <v>46447</v>
      </c>
      <c r="AO268">
        <v>0</v>
      </c>
      <c r="AP268">
        <v>0</v>
      </c>
      <c r="AQ268">
        <v>0</v>
      </c>
      <c r="AR268" s="8">
        <f t="shared" si="9"/>
        <v>2391.0700000000002</v>
      </c>
      <c r="AS268" s="38">
        <f t="shared" si="8"/>
        <v>1797.2716762</v>
      </c>
      <c r="AT268" s="39" t="s">
        <v>173</v>
      </c>
      <c r="AU268" s="40">
        <f>VLOOKUP(N268,'Apólice Endosso'!D:XFD,23,0)</f>
        <v>0</v>
      </c>
      <c r="AV268" s="39" t="str">
        <f>VLOOKUP(N268,'Apólice Endosso'!D:XFD,28,0)</f>
        <v>Padrão (100%) sem blindagem - 150k - Contrato 2025</v>
      </c>
      <c r="AX268" s="40">
        <f>VLOOKUP(N268,'Apólice Endosso'!D:XFD,30,0)</f>
        <v>5050.3500000000004</v>
      </c>
      <c r="AY268" s="36">
        <v>1809.0308599999998</v>
      </c>
      <c r="AZ268" s="16">
        <v>5050.3500000000004</v>
      </c>
      <c r="BA268" s="16"/>
    </row>
    <row r="269" spans="1:53" x14ac:dyDescent="0.3">
      <c r="A269" t="s">
        <v>85</v>
      </c>
      <c r="B269" s="9">
        <v>46142</v>
      </c>
      <c r="C269">
        <v>0</v>
      </c>
      <c r="D269" t="s">
        <v>84</v>
      </c>
      <c r="E269">
        <v>2103</v>
      </c>
      <c r="F269">
        <v>2103</v>
      </c>
      <c r="G269"/>
      <c r="H269"/>
      <c r="J269" t="s">
        <v>157</v>
      </c>
      <c r="K269" t="s">
        <v>158</v>
      </c>
      <c r="L269" t="s">
        <v>797</v>
      </c>
      <c r="M269" t="s">
        <v>86</v>
      </c>
      <c r="N269" t="s">
        <v>798</v>
      </c>
      <c r="O269" t="s">
        <v>87</v>
      </c>
      <c r="P269" t="s">
        <v>126</v>
      </c>
      <c r="Q269" t="s">
        <v>160</v>
      </c>
      <c r="R269">
        <v>2026</v>
      </c>
      <c r="S269">
        <v>2026</v>
      </c>
      <c r="T269" t="s">
        <v>127</v>
      </c>
      <c r="U269">
        <v>85</v>
      </c>
      <c r="V269">
        <v>97320</v>
      </c>
      <c r="W269">
        <v>179.13</v>
      </c>
      <c r="X269">
        <v>495.45</v>
      </c>
      <c r="Y269">
        <v>0</v>
      </c>
      <c r="Z269">
        <v>76.77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14598</v>
      </c>
      <c r="AG269">
        <v>320000</v>
      </c>
      <c r="AH269">
        <v>150000</v>
      </c>
      <c r="AI269">
        <v>0</v>
      </c>
      <c r="AJ269">
        <v>150000</v>
      </c>
      <c r="AK269">
        <v>10000</v>
      </c>
      <c r="AL269">
        <v>10000</v>
      </c>
      <c r="AM269" s="42">
        <v>46113</v>
      </c>
      <c r="AN269" s="42">
        <v>46447</v>
      </c>
      <c r="AO269">
        <v>0</v>
      </c>
      <c r="AP269">
        <v>0</v>
      </c>
      <c r="AQ269">
        <v>0</v>
      </c>
      <c r="AR269" s="8">
        <f t="shared" si="9"/>
        <v>2814.8999999999996</v>
      </c>
      <c r="AS269" s="38">
        <f t="shared" si="8"/>
        <v>2115.8477339999995</v>
      </c>
      <c r="AT269" s="39" t="s">
        <v>175</v>
      </c>
      <c r="AU269" s="40">
        <f>VLOOKUP(N269,'Apólice Endosso'!D:XFD,23,0)</f>
        <v>0</v>
      </c>
      <c r="AV269" s="39" t="str">
        <f>VLOOKUP(N269,'Apólice Endosso'!D:XFD,28,0)</f>
        <v>Padrão (100%) sem blindagem - 150k - Contrato 2025</v>
      </c>
      <c r="AX269" s="40">
        <f>VLOOKUP(N269,'Apólice Endosso'!D:XFD,30,0)</f>
        <v>5945.4</v>
      </c>
      <c r="AY269" s="36">
        <v>2100.5568220000005</v>
      </c>
      <c r="AZ269" s="16">
        <v>5945.4</v>
      </c>
      <c r="BA269" s="16"/>
    </row>
    <row r="270" spans="1:53" x14ac:dyDescent="0.3">
      <c r="A270" t="s">
        <v>85</v>
      </c>
      <c r="B270" s="9">
        <v>46142</v>
      </c>
      <c r="C270">
        <v>0</v>
      </c>
      <c r="D270" t="s">
        <v>84</v>
      </c>
      <c r="E270">
        <v>2103</v>
      </c>
      <c r="F270">
        <v>2103</v>
      </c>
      <c r="G270"/>
      <c r="H270"/>
      <c r="J270" t="s">
        <v>799</v>
      </c>
      <c r="K270" t="s">
        <v>800</v>
      </c>
      <c r="L270" t="s">
        <v>801</v>
      </c>
      <c r="M270" t="s">
        <v>86</v>
      </c>
      <c r="N270" t="s">
        <v>802</v>
      </c>
      <c r="O270" t="s">
        <v>87</v>
      </c>
      <c r="P270" t="s">
        <v>89</v>
      </c>
      <c r="Q270" t="s">
        <v>90</v>
      </c>
      <c r="R270">
        <v>2026</v>
      </c>
      <c r="S270">
        <v>2026</v>
      </c>
      <c r="T270" t="s">
        <v>88</v>
      </c>
      <c r="U270">
        <v>85</v>
      </c>
      <c r="V270">
        <v>84669</v>
      </c>
      <c r="W270">
        <v>159.33000000000001</v>
      </c>
      <c r="X270">
        <v>444.99</v>
      </c>
      <c r="Y270">
        <v>0</v>
      </c>
      <c r="Z270">
        <v>68.290000000000006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12700.35</v>
      </c>
      <c r="AG270">
        <v>1020000</v>
      </c>
      <c r="AH270">
        <v>500000</v>
      </c>
      <c r="AI270">
        <v>0</v>
      </c>
      <c r="AJ270">
        <v>500000</v>
      </c>
      <c r="AK270">
        <v>10000</v>
      </c>
      <c r="AL270">
        <v>10000</v>
      </c>
      <c r="AM270" s="42">
        <v>46113</v>
      </c>
      <c r="AN270" s="42">
        <v>46447</v>
      </c>
      <c r="AO270">
        <v>0</v>
      </c>
      <c r="AP270">
        <v>0</v>
      </c>
      <c r="AQ270">
        <v>0</v>
      </c>
      <c r="AR270" s="8">
        <f t="shared" si="9"/>
        <v>2503.8200000000002</v>
      </c>
      <c r="AS270" s="38">
        <f t="shared" si="8"/>
        <v>1882.0213412000001</v>
      </c>
      <c r="AT270" s="39" t="s">
        <v>876</v>
      </c>
      <c r="AU270" s="40">
        <f>VLOOKUP(N270,'Apólice Endosso'!D:XFD,23,0)</f>
        <v>0</v>
      </c>
      <c r="AV270" s="39" t="str">
        <f>VLOOKUP(N270,'Apólice Endosso'!D:XFD,28,0)</f>
        <v>Padrão (100%) sem blindagem - 500k - Contrato 2025</v>
      </c>
      <c r="AX270" s="40">
        <f>VLOOKUP(N270,'Apólice Endosso'!D:XFD,30,0)</f>
        <v>5339.9</v>
      </c>
      <c r="AY270" s="36">
        <v>1886.5806959999998</v>
      </c>
      <c r="AZ270" s="16">
        <v>5339.9</v>
      </c>
      <c r="BA270" s="16"/>
    </row>
    <row r="271" spans="1:53" x14ac:dyDescent="0.3">
      <c r="A271" t="s">
        <v>85</v>
      </c>
      <c r="B271" s="9">
        <v>46142</v>
      </c>
      <c r="C271">
        <v>0</v>
      </c>
      <c r="D271" t="s">
        <v>84</v>
      </c>
      <c r="E271">
        <v>2103</v>
      </c>
      <c r="F271">
        <v>2103</v>
      </c>
      <c r="G271"/>
      <c r="H271"/>
      <c r="J271" t="s">
        <v>799</v>
      </c>
      <c r="K271" t="s">
        <v>800</v>
      </c>
      <c r="L271" t="s">
        <v>803</v>
      </c>
      <c r="M271" t="s">
        <v>86</v>
      </c>
      <c r="N271" t="s">
        <v>804</v>
      </c>
      <c r="O271" t="s">
        <v>87</v>
      </c>
      <c r="P271" t="s">
        <v>89</v>
      </c>
      <c r="Q271" t="s">
        <v>90</v>
      </c>
      <c r="R271">
        <v>2026</v>
      </c>
      <c r="S271">
        <v>2026</v>
      </c>
      <c r="T271" t="s">
        <v>88</v>
      </c>
      <c r="U271">
        <v>85</v>
      </c>
      <c r="V271">
        <v>84669</v>
      </c>
      <c r="W271">
        <v>159.33000000000001</v>
      </c>
      <c r="X271">
        <v>444.99</v>
      </c>
      <c r="Y271">
        <v>0</v>
      </c>
      <c r="Z271">
        <v>68.290000000000006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12700.35</v>
      </c>
      <c r="AG271">
        <v>1020000</v>
      </c>
      <c r="AH271">
        <v>500000</v>
      </c>
      <c r="AI271">
        <v>0</v>
      </c>
      <c r="AJ271">
        <v>500000</v>
      </c>
      <c r="AK271">
        <v>10000</v>
      </c>
      <c r="AL271">
        <v>10000</v>
      </c>
      <c r="AM271" s="42">
        <v>46113</v>
      </c>
      <c r="AN271" s="42">
        <v>46447</v>
      </c>
      <c r="AO271">
        <v>0</v>
      </c>
      <c r="AP271">
        <v>0</v>
      </c>
      <c r="AQ271">
        <v>0</v>
      </c>
      <c r="AR271" s="8">
        <f t="shared" si="9"/>
        <v>2503.8200000000002</v>
      </c>
      <c r="AS271" s="38">
        <f t="shared" si="8"/>
        <v>1882.0213412000001</v>
      </c>
      <c r="AT271" s="39" t="s">
        <v>876</v>
      </c>
      <c r="AU271" s="40">
        <f>VLOOKUP(N271,'Apólice Endosso'!D:XFD,23,0)</f>
        <v>0</v>
      </c>
      <c r="AV271" s="39" t="str">
        <f>VLOOKUP(N271,'Apólice Endosso'!D:XFD,28,0)</f>
        <v>Padrão (100%) sem blindagem - 500k - Contrato 2025</v>
      </c>
      <c r="AX271" s="40">
        <f>VLOOKUP(N271,'Apólice Endosso'!D:XFD,30,0)</f>
        <v>5339.9</v>
      </c>
      <c r="AY271" s="36">
        <v>1886.5806959999998</v>
      </c>
      <c r="AZ271" s="16">
        <v>5339.9</v>
      </c>
      <c r="BA271" s="16"/>
    </row>
    <row r="272" spans="1:53" x14ac:dyDescent="0.3">
      <c r="A272" t="s">
        <v>85</v>
      </c>
      <c r="B272" s="9">
        <v>46142</v>
      </c>
      <c r="C272">
        <v>0</v>
      </c>
      <c r="D272" t="s">
        <v>84</v>
      </c>
      <c r="E272">
        <v>2103</v>
      </c>
      <c r="F272">
        <v>2103</v>
      </c>
      <c r="G272"/>
      <c r="H272"/>
      <c r="J272" t="s">
        <v>799</v>
      </c>
      <c r="K272" t="s">
        <v>800</v>
      </c>
      <c r="L272" t="s">
        <v>805</v>
      </c>
      <c r="M272" t="s">
        <v>86</v>
      </c>
      <c r="N272" t="s">
        <v>806</v>
      </c>
      <c r="O272" t="s">
        <v>87</v>
      </c>
      <c r="P272" t="s">
        <v>233</v>
      </c>
      <c r="Q272" t="s">
        <v>234</v>
      </c>
      <c r="R272">
        <v>2025</v>
      </c>
      <c r="S272">
        <v>2026</v>
      </c>
      <c r="T272" t="s">
        <v>232</v>
      </c>
      <c r="U272">
        <v>85</v>
      </c>
      <c r="V272">
        <v>0</v>
      </c>
      <c r="W272">
        <v>283.44</v>
      </c>
      <c r="X272">
        <v>1119.8</v>
      </c>
      <c r="Y272">
        <v>0</v>
      </c>
      <c r="Z272">
        <v>121.47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1020000</v>
      </c>
      <c r="AH272">
        <v>500000</v>
      </c>
      <c r="AI272">
        <v>0</v>
      </c>
      <c r="AJ272">
        <v>500000</v>
      </c>
      <c r="AK272">
        <v>10000</v>
      </c>
      <c r="AL272">
        <v>10000</v>
      </c>
      <c r="AM272" s="42">
        <v>46113</v>
      </c>
      <c r="AN272" s="42">
        <v>46447</v>
      </c>
      <c r="AO272">
        <v>0</v>
      </c>
      <c r="AP272">
        <v>0</v>
      </c>
      <c r="AQ272">
        <v>0</v>
      </c>
      <c r="AR272" s="8">
        <f t="shared" si="9"/>
        <v>4454.0099999999993</v>
      </c>
      <c r="AS272" s="38">
        <f t="shared" si="8"/>
        <v>3347.9011565999995</v>
      </c>
      <c r="AT272" s="39" t="s">
        <v>876</v>
      </c>
      <c r="AU272" s="40">
        <f>VLOOKUP(N272,'Apólice Endosso'!D:XFD,23,0)</f>
        <v>0</v>
      </c>
      <c r="AV272" s="39" t="str">
        <f>VLOOKUP(N272,'Apólice Endosso'!D:XFD,28,0)</f>
        <v>Padrão (100%) sem blindagem - 500k - Contrato 2025</v>
      </c>
      <c r="AX272" s="40">
        <f>VLOOKUP(N272,'Apólice Endosso'!D:XFD,30,0)</f>
        <v>13437.55</v>
      </c>
      <c r="AY272" s="36">
        <v>3227.9823940000001</v>
      </c>
      <c r="AZ272" s="16">
        <v>13437.55</v>
      </c>
      <c r="BA272" s="16"/>
    </row>
    <row r="273" spans="1:53" x14ac:dyDescent="0.3">
      <c r="A273" t="s">
        <v>85</v>
      </c>
      <c r="B273" s="9">
        <v>46142</v>
      </c>
      <c r="C273">
        <v>0</v>
      </c>
      <c r="D273" t="s">
        <v>84</v>
      </c>
      <c r="E273">
        <v>2103</v>
      </c>
      <c r="F273">
        <v>2103</v>
      </c>
      <c r="G273"/>
      <c r="H273"/>
      <c r="J273" t="s">
        <v>799</v>
      </c>
      <c r="K273" t="s">
        <v>800</v>
      </c>
      <c r="L273" t="s">
        <v>807</v>
      </c>
      <c r="M273" t="s">
        <v>86</v>
      </c>
      <c r="N273" t="s">
        <v>808</v>
      </c>
      <c r="O273" t="s">
        <v>87</v>
      </c>
      <c r="P273" t="s">
        <v>233</v>
      </c>
      <c r="Q273" t="s">
        <v>234</v>
      </c>
      <c r="R273">
        <v>2025</v>
      </c>
      <c r="S273">
        <v>2026</v>
      </c>
      <c r="T273" t="s">
        <v>232</v>
      </c>
      <c r="U273">
        <v>85</v>
      </c>
      <c r="V273">
        <v>0</v>
      </c>
      <c r="W273">
        <v>283.44</v>
      </c>
      <c r="X273">
        <v>1119.8</v>
      </c>
      <c r="Y273">
        <v>0</v>
      </c>
      <c r="Z273">
        <v>121.47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1020000</v>
      </c>
      <c r="AH273">
        <v>500000</v>
      </c>
      <c r="AI273">
        <v>0</v>
      </c>
      <c r="AJ273">
        <v>500000</v>
      </c>
      <c r="AK273">
        <v>10000</v>
      </c>
      <c r="AL273">
        <v>10000</v>
      </c>
      <c r="AM273" s="42">
        <v>46113</v>
      </c>
      <c r="AN273" s="42">
        <v>46447</v>
      </c>
      <c r="AO273">
        <v>0</v>
      </c>
      <c r="AP273">
        <v>0</v>
      </c>
      <c r="AQ273">
        <v>0</v>
      </c>
      <c r="AR273" s="8">
        <f t="shared" si="9"/>
        <v>4454.0099999999993</v>
      </c>
      <c r="AS273" s="38">
        <f t="shared" si="8"/>
        <v>3347.9011565999995</v>
      </c>
      <c r="AT273" s="39" t="s">
        <v>876</v>
      </c>
      <c r="AU273" s="40">
        <f>VLOOKUP(N273,'Apólice Endosso'!D:XFD,23,0)</f>
        <v>0</v>
      </c>
      <c r="AV273" s="39" t="str">
        <f>VLOOKUP(N273,'Apólice Endosso'!D:XFD,28,0)</f>
        <v>Padrão (100%) sem blindagem - 500k - Contrato 2025</v>
      </c>
      <c r="AX273" s="40">
        <f>VLOOKUP(N273,'Apólice Endosso'!D:XFD,30,0)</f>
        <v>13437.55</v>
      </c>
      <c r="AY273" s="36">
        <v>3227.9823940000001</v>
      </c>
      <c r="AZ273" s="16">
        <v>13437.55</v>
      </c>
      <c r="BA273" s="16"/>
    </row>
    <row r="274" spans="1:53" x14ac:dyDescent="0.3">
      <c r="A274" t="s">
        <v>85</v>
      </c>
      <c r="B274" s="9">
        <v>46142</v>
      </c>
      <c r="C274">
        <v>0</v>
      </c>
      <c r="D274" t="s">
        <v>84</v>
      </c>
      <c r="E274">
        <v>2103</v>
      </c>
      <c r="F274">
        <v>2103</v>
      </c>
      <c r="G274"/>
      <c r="H274"/>
      <c r="J274" t="s">
        <v>809</v>
      </c>
      <c r="K274" t="s">
        <v>810</v>
      </c>
      <c r="L274" t="s">
        <v>811</v>
      </c>
      <c r="M274" t="s">
        <v>86</v>
      </c>
      <c r="N274" t="s">
        <v>812</v>
      </c>
      <c r="O274" t="s">
        <v>87</v>
      </c>
      <c r="P274" t="s">
        <v>91</v>
      </c>
      <c r="Q274" t="s">
        <v>92</v>
      </c>
      <c r="R274">
        <v>2024</v>
      </c>
      <c r="S274">
        <v>2024</v>
      </c>
      <c r="T274" t="s">
        <v>93</v>
      </c>
      <c r="U274">
        <v>85</v>
      </c>
      <c r="V274">
        <v>0</v>
      </c>
      <c r="W274">
        <v>328.53</v>
      </c>
      <c r="X274">
        <v>2065.1799999999998</v>
      </c>
      <c r="Y274">
        <v>0</v>
      </c>
      <c r="Z274">
        <v>140.80000000000001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620000</v>
      </c>
      <c r="AH274">
        <v>300000</v>
      </c>
      <c r="AI274">
        <v>0</v>
      </c>
      <c r="AJ274">
        <v>300000</v>
      </c>
      <c r="AK274">
        <v>10000</v>
      </c>
      <c r="AL274">
        <v>10000</v>
      </c>
      <c r="AM274" s="42">
        <v>46113</v>
      </c>
      <c r="AN274" s="42">
        <v>46447</v>
      </c>
      <c r="AO274">
        <v>0</v>
      </c>
      <c r="AP274">
        <v>0</v>
      </c>
      <c r="AQ274">
        <v>0</v>
      </c>
      <c r="AR274" s="8">
        <f t="shared" si="9"/>
        <v>5162.63</v>
      </c>
      <c r="AS274" s="38">
        <f t="shared" si="8"/>
        <v>3880.5424657999997</v>
      </c>
      <c r="AT274" s="39" t="s">
        <v>877</v>
      </c>
      <c r="AU274" s="40">
        <f>VLOOKUP(N274,'Apólice Endosso'!D:XFD,23,0)</f>
        <v>0</v>
      </c>
      <c r="AV274" s="39" t="str">
        <f>VLOOKUP(N274,'Apólice Endosso'!D:XFD,28,0)</f>
        <v>Padrão (100%) sem blindagem - 300k - Contrato 2025</v>
      </c>
      <c r="AX274" s="40">
        <f>VLOOKUP(N274,'Apólice Endosso'!D:XFD,30,0)</f>
        <v>24782.1</v>
      </c>
      <c r="AY274" s="36">
        <v>3715.3694759999994</v>
      </c>
      <c r="AZ274" s="16">
        <v>24782.1</v>
      </c>
      <c r="BA274" s="16"/>
    </row>
    <row r="275" spans="1:53" x14ac:dyDescent="0.3">
      <c r="A275" t="s">
        <v>85</v>
      </c>
      <c r="B275" s="9">
        <v>46142</v>
      </c>
      <c r="C275">
        <v>0</v>
      </c>
      <c r="D275" t="s">
        <v>84</v>
      </c>
      <c r="E275">
        <v>2103</v>
      </c>
      <c r="F275">
        <v>2103</v>
      </c>
      <c r="G275"/>
      <c r="H275"/>
      <c r="J275" t="s">
        <v>813</v>
      </c>
      <c r="K275" t="s">
        <v>814</v>
      </c>
      <c r="L275" t="s">
        <v>815</v>
      </c>
      <c r="M275" t="s">
        <v>86</v>
      </c>
      <c r="N275" t="s">
        <v>816</v>
      </c>
      <c r="O275" t="s">
        <v>87</v>
      </c>
      <c r="P275" t="s">
        <v>134</v>
      </c>
      <c r="Q275" t="s">
        <v>161</v>
      </c>
      <c r="R275">
        <v>2026</v>
      </c>
      <c r="S275">
        <v>2026</v>
      </c>
      <c r="T275" t="s">
        <v>135</v>
      </c>
      <c r="U275">
        <v>85</v>
      </c>
      <c r="V275">
        <v>133163</v>
      </c>
      <c r="W275">
        <v>187.99</v>
      </c>
      <c r="X275">
        <v>650.57000000000005</v>
      </c>
      <c r="Y275">
        <v>0</v>
      </c>
      <c r="Z275">
        <v>80.64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19974.45</v>
      </c>
      <c r="AG275">
        <v>620000</v>
      </c>
      <c r="AH275">
        <v>300000</v>
      </c>
      <c r="AI275">
        <v>0</v>
      </c>
      <c r="AJ275">
        <v>300000</v>
      </c>
      <c r="AK275">
        <v>10000</v>
      </c>
      <c r="AL275">
        <v>10000</v>
      </c>
      <c r="AM275" s="42">
        <v>46113</v>
      </c>
      <c r="AN275" s="42">
        <v>46447</v>
      </c>
      <c r="AO275">
        <v>0</v>
      </c>
      <c r="AP275">
        <v>0</v>
      </c>
      <c r="AQ275">
        <v>0</v>
      </c>
      <c r="AR275" s="8">
        <f t="shared" si="9"/>
        <v>2954.93</v>
      </c>
      <c r="AS275" s="38">
        <f t="shared" si="8"/>
        <v>2221.1026837999993</v>
      </c>
      <c r="AT275" s="39" t="s">
        <v>878</v>
      </c>
      <c r="AU275" s="40">
        <f>VLOOKUP(N275,'Apólice Endosso'!D:XFD,23,0)</f>
        <v>0</v>
      </c>
      <c r="AV275" s="39" t="str">
        <f>VLOOKUP(N275,'Apólice Endosso'!D:XFD,28,0)</f>
        <v>Padrão (100%) sem blindagem - 300k - Contrato 2025</v>
      </c>
      <c r="AX275" s="40">
        <f>VLOOKUP(N275,'Apólice Endosso'!D:XFD,30,0)</f>
        <v>7806.8</v>
      </c>
      <c r="AY275" s="36">
        <v>2196.8659440000001</v>
      </c>
      <c r="AZ275" s="16">
        <v>7806.8</v>
      </c>
      <c r="BA275" s="16"/>
    </row>
    <row r="276" spans="1:53" x14ac:dyDescent="0.3">
      <c r="A276" t="s">
        <v>85</v>
      </c>
      <c r="B276" s="9">
        <v>46142</v>
      </c>
      <c r="C276">
        <v>0</v>
      </c>
      <c r="D276" t="s">
        <v>84</v>
      </c>
      <c r="E276">
        <v>2103</v>
      </c>
      <c r="F276">
        <v>2103</v>
      </c>
      <c r="G276"/>
      <c r="H276"/>
      <c r="J276" t="s">
        <v>149</v>
      </c>
      <c r="K276" t="s">
        <v>150</v>
      </c>
      <c r="L276" t="s">
        <v>817</v>
      </c>
      <c r="M276" t="s">
        <v>86</v>
      </c>
      <c r="N276" t="s">
        <v>818</v>
      </c>
      <c r="O276" t="s">
        <v>87</v>
      </c>
      <c r="P276" t="s">
        <v>89</v>
      </c>
      <c r="Q276" t="s">
        <v>90</v>
      </c>
      <c r="R276">
        <v>2026</v>
      </c>
      <c r="S276">
        <v>2026</v>
      </c>
      <c r="T276" t="s">
        <v>88</v>
      </c>
      <c r="U276">
        <v>85</v>
      </c>
      <c r="V276">
        <v>84669</v>
      </c>
      <c r="W276">
        <v>152.16</v>
      </c>
      <c r="X276">
        <v>420.86</v>
      </c>
      <c r="Y276">
        <v>0</v>
      </c>
      <c r="Z276">
        <v>65.209999999999994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12700.35</v>
      </c>
      <c r="AG276">
        <v>320000</v>
      </c>
      <c r="AH276">
        <v>150000</v>
      </c>
      <c r="AI276">
        <v>0</v>
      </c>
      <c r="AJ276">
        <v>150000</v>
      </c>
      <c r="AK276">
        <v>10000</v>
      </c>
      <c r="AL276">
        <v>10000</v>
      </c>
      <c r="AM276" s="42">
        <v>46113</v>
      </c>
      <c r="AN276" s="42">
        <v>46447</v>
      </c>
      <c r="AO276">
        <v>0</v>
      </c>
      <c r="AP276">
        <v>0</v>
      </c>
      <c r="AQ276">
        <v>0</v>
      </c>
      <c r="AR276" s="8">
        <f t="shared" si="9"/>
        <v>2391.0700000000002</v>
      </c>
      <c r="AS276" s="38">
        <f t="shared" si="8"/>
        <v>1797.2716762</v>
      </c>
      <c r="AT276" s="39" t="s">
        <v>173</v>
      </c>
      <c r="AU276" s="40">
        <f>VLOOKUP(N276,'Apólice Endosso'!D:XFD,23,0)</f>
        <v>0</v>
      </c>
      <c r="AV276" s="39" t="str">
        <f>VLOOKUP(N276,'Apólice Endosso'!D:XFD,28,0)</f>
        <v>Padrão (100%) sem blindagem - 150k - Contrato 2025</v>
      </c>
      <c r="AX276" s="40">
        <f>VLOOKUP(N276,'Apólice Endosso'!D:XFD,30,0)</f>
        <v>5050.3500000000004</v>
      </c>
      <c r="AY276" s="36">
        <v>1809.0308599999998</v>
      </c>
      <c r="AZ276" s="16">
        <v>5050.3500000000004</v>
      </c>
      <c r="BA276" s="16"/>
    </row>
    <row r="277" spans="1:53" x14ac:dyDescent="0.3">
      <c r="A277" t="s">
        <v>85</v>
      </c>
      <c r="B277" s="9">
        <v>46142</v>
      </c>
      <c r="C277">
        <v>0</v>
      </c>
      <c r="D277" t="s">
        <v>84</v>
      </c>
      <c r="E277">
        <v>2103</v>
      </c>
      <c r="F277">
        <v>2103</v>
      </c>
      <c r="G277"/>
      <c r="H277"/>
      <c r="J277" t="s">
        <v>149</v>
      </c>
      <c r="K277" t="s">
        <v>150</v>
      </c>
      <c r="L277" t="s">
        <v>819</v>
      </c>
      <c r="M277" t="s">
        <v>86</v>
      </c>
      <c r="N277" t="s">
        <v>820</v>
      </c>
      <c r="O277" t="s">
        <v>87</v>
      </c>
      <c r="P277" t="s">
        <v>89</v>
      </c>
      <c r="Q277" t="s">
        <v>90</v>
      </c>
      <c r="R277">
        <v>2026</v>
      </c>
      <c r="S277">
        <v>2026</v>
      </c>
      <c r="T277" t="s">
        <v>88</v>
      </c>
      <c r="U277">
        <v>85</v>
      </c>
      <c r="V277">
        <v>84669</v>
      </c>
      <c r="W277">
        <v>152.16</v>
      </c>
      <c r="X277">
        <v>420.86</v>
      </c>
      <c r="Y277">
        <v>0</v>
      </c>
      <c r="Z277">
        <v>65.209999999999994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12700.35</v>
      </c>
      <c r="AG277">
        <v>320000</v>
      </c>
      <c r="AH277">
        <v>150000</v>
      </c>
      <c r="AI277">
        <v>0</v>
      </c>
      <c r="AJ277">
        <v>150000</v>
      </c>
      <c r="AK277">
        <v>10000</v>
      </c>
      <c r="AL277">
        <v>10000</v>
      </c>
      <c r="AM277" s="42">
        <v>46113</v>
      </c>
      <c r="AN277" s="42">
        <v>46447</v>
      </c>
      <c r="AO277">
        <v>0</v>
      </c>
      <c r="AP277">
        <v>0</v>
      </c>
      <c r="AQ277">
        <v>0</v>
      </c>
      <c r="AR277" s="8">
        <f t="shared" si="9"/>
        <v>2391.0700000000002</v>
      </c>
      <c r="AS277" s="38">
        <f t="shared" si="8"/>
        <v>1797.2716762</v>
      </c>
      <c r="AT277" s="39" t="s">
        <v>173</v>
      </c>
      <c r="AU277" s="40">
        <f>VLOOKUP(N277,'Apólice Endosso'!D:XFD,23,0)</f>
        <v>0</v>
      </c>
      <c r="AV277" s="39" t="str">
        <f>VLOOKUP(N277,'Apólice Endosso'!D:XFD,28,0)</f>
        <v>Padrão (100%) sem blindagem - 150k - Contrato 2025</v>
      </c>
      <c r="AX277" s="40">
        <f>VLOOKUP(N277,'Apólice Endosso'!D:XFD,30,0)</f>
        <v>5050.3500000000004</v>
      </c>
      <c r="AY277" s="36">
        <v>1809.0308599999998</v>
      </c>
      <c r="AZ277" s="16">
        <v>5050.3500000000004</v>
      </c>
      <c r="BA277" s="16"/>
    </row>
    <row r="278" spans="1:53" x14ac:dyDescent="0.3">
      <c r="A278" t="s">
        <v>85</v>
      </c>
      <c r="B278" s="9">
        <v>46142</v>
      </c>
      <c r="C278">
        <v>0</v>
      </c>
      <c r="D278" t="s">
        <v>84</v>
      </c>
      <c r="E278">
        <v>2103</v>
      </c>
      <c r="F278">
        <v>2103</v>
      </c>
      <c r="G278"/>
      <c r="H278"/>
      <c r="J278" t="s">
        <v>821</v>
      </c>
      <c r="K278" t="s">
        <v>822</v>
      </c>
      <c r="L278" t="s">
        <v>823</v>
      </c>
      <c r="M278" t="s">
        <v>86</v>
      </c>
      <c r="N278" t="s">
        <v>824</v>
      </c>
      <c r="O278" t="s">
        <v>87</v>
      </c>
      <c r="P278" t="s">
        <v>91</v>
      </c>
      <c r="Q278" t="s">
        <v>92</v>
      </c>
      <c r="R278">
        <v>2024</v>
      </c>
      <c r="S278">
        <v>2024</v>
      </c>
      <c r="T278" t="s">
        <v>93</v>
      </c>
      <c r="U278">
        <v>85</v>
      </c>
      <c r="V278">
        <v>0</v>
      </c>
      <c r="W278">
        <v>328.53</v>
      </c>
      <c r="X278">
        <v>2075.66</v>
      </c>
      <c r="Y278">
        <v>0</v>
      </c>
      <c r="Z278">
        <v>140.80000000000001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620000</v>
      </c>
      <c r="AH278">
        <v>300000</v>
      </c>
      <c r="AI278">
        <v>0</v>
      </c>
      <c r="AJ278">
        <v>300000</v>
      </c>
      <c r="AK278">
        <v>10000</v>
      </c>
      <c r="AL278">
        <v>10000</v>
      </c>
      <c r="AM278" s="42">
        <v>46113</v>
      </c>
      <c r="AN278" s="42">
        <v>46447</v>
      </c>
      <c r="AO278">
        <v>0</v>
      </c>
      <c r="AP278">
        <v>0</v>
      </c>
      <c r="AQ278">
        <v>0</v>
      </c>
      <c r="AR278" s="8">
        <f t="shared" si="9"/>
        <v>5162.63</v>
      </c>
      <c r="AS278" s="38">
        <f t="shared" si="8"/>
        <v>3880.5424657999997</v>
      </c>
      <c r="AT278" s="39" t="s">
        <v>879</v>
      </c>
      <c r="AU278" s="40">
        <f>VLOOKUP(N278,'Apólice Endosso'!D:XFD,23,0)</f>
        <v>0</v>
      </c>
      <c r="AV278" s="39" t="str">
        <f>VLOOKUP(N278,'Apólice Endosso'!D:XFD,28,0)</f>
        <v>Padrão (100%) sem blindagem - 300k - Contrato 2025</v>
      </c>
      <c r="AX278" s="40">
        <f>VLOOKUP(N278,'Apólice Endosso'!D:XFD,30,0)</f>
        <v>24907.9</v>
      </c>
      <c r="AY278" s="36">
        <v>3715.3694759999994</v>
      </c>
      <c r="AZ278" s="16">
        <v>24907.9</v>
      </c>
      <c r="BA278" s="16"/>
    </row>
    <row r="279" spans="1:53" x14ac:dyDescent="0.3">
      <c r="A279" t="s">
        <v>85</v>
      </c>
      <c r="B279" s="9">
        <v>46142</v>
      </c>
      <c r="C279">
        <v>0</v>
      </c>
      <c r="D279" t="s">
        <v>84</v>
      </c>
      <c r="E279">
        <v>2103</v>
      </c>
      <c r="F279">
        <v>2103</v>
      </c>
      <c r="G279"/>
      <c r="H279"/>
      <c r="J279" t="s">
        <v>825</v>
      </c>
      <c r="K279" t="s">
        <v>826</v>
      </c>
      <c r="L279" t="s">
        <v>827</v>
      </c>
      <c r="M279" t="s">
        <v>86</v>
      </c>
      <c r="N279" t="s">
        <v>828</v>
      </c>
      <c r="O279" t="s">
        <v>87</v>
      </c>
      <c r="P279" t="s">
        <v>123</v>
      </c>
      <c r="Q279" t="s">
        <v>189</v>
      </c>
      <c r="R279">
        <v>2025</v>
      </c>
      <c r="S279">
        <v>2025</v>
      </c>
      <c r="T279" t="s">
        <v>125</v>
      </c>
      <c r="U279">
        <v>85</v>
      </c>
      <c r="V279">
        <v>0</v>
      </c>
      <c r="W279">
        <v>231.98</v>
      </c>
      <c r="X279">
        <v>1458.29</v>
      </c>
      <c r="Y279">
        <v>0</v>
      </c>
      <c r="Z279">
        <v>99.42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620000</v>
      </c>
      <c r="AH279">
        <v>300000</v>
      </c>
      <c r="AI279">
        <v>0</v>
      </c>
      <c r="AJ279">
        <v>300000</v>
      </c>
      <c r="AK279">
        <v>10000</v>
      </c>
      <c r="AL279">
        <v>10000</v>
      </c>
      <c r="AM279" s="42">
        <v>46113</v>
      </c>
      <c r="AN279" s="42">
        <v>46447</v>
      </c>
      <c r="AO279">
        <v>0</v>
      </c>
      <c r="AP279">
        <v>0</v>
      </c>
      <c r="AQ279">
        <v>0</v>
      </c>
      <c r="AR279" s="8">
        <f t="shared" si="9"/>
        <v>3645.3999999999996</v>
      </c>
      <c r="AS279" s="38">
        <f t="shared" ref="AS279" si="10">(AR279*70%)+((AR279*70%)*7.38%)</f>
        <v>2740.1013639999996</v>
      </c>
      <c r="AT279" s="39" t="s">
        <v>861</v>
      </c>
      <c r="AU279" s="40">
        <f>VLOOKUP(N279,'Apólice Endosso'!D:XFD,23,0)</f>
        <v>0</v>
      </c>
      <c r="AV279" s="39" t="str">
        <f>VLOOKUP(N279,'Apólice Endosso'!D:XFD,28,0)</f>
        <v>Padrão (100%) sem blindagem - 300k - Contrato 2025</v>
      </c>
      <c r="AX279" s="40">
        <f>VLOOKUP(N279,'Apólice Endosso'!D:XFD,30,0)</f>
        <v>17499.5</v>
      </c>
      <c r="AY279" s="36">
        <v>2671.7432559999997</v>
      </c>
      <c r="AZ279" s="16">
        <v>17499.5</v>
      </c>
      <c r="BA279" s="16"/>
    </row>
  </sheetData>
  <mergeCells count="1">
    <mergeCell ref="AU1:AX1"/>
  </mergeCells>
  <phoneticPr fontId="9" type="noConversion"/>
  <conditionalFormatting sqref="L1:L1048576">
    <cfRule type="duplicateValues" dxfId="2" priority="1"/>
  </conditionalFormatting>
  <pageMargins left="0.511811024" right="0.511811024" top="0.78740157499999996" bottom="0.78740157499999996" header="0.31496062000000002" footer="0.31496062000000002"/>
  <pageSetup orientation="portrait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2215-46EC-43BD-B6A8-45818B2ECB9D}">
  <sheetPr>
    <tabColor rgb="FFFF0000"/>
  </sheetPr>
  <dimension ref="A1:AR39"/>
  <sheetViews>
    <sheetView zoomScale="70" zoomScaleNormal="70" workbookViewId="0">
      <pane ySplit="2" topLeftCell="A7" activePane="bottomLeft" state="frozen"/>
      <selection pane="bottomLeft" activeCell="M3" sqref="M3:AO33"/>
    </sheetView>
  </sheetViews>
  <sheetFormatPr defaultRowHeight="14.4" x14ac:dyDescent="0.3"/>
  <cols>
    <col min="1" max="1" width="20" style="18" bestFit="1" customWidth="1"/>
    <col min="2" max="2" width="14.21875" bestFit="1" customWidth="1"/>
    <col min="3" max="3" width="15.44140625" hidden="1" customWidth="1"/>
    <col min="4" max="4" width="17.33203125" hidden="1" customWidth="1"/>
    <col min="5" max="5" width="23.21875" hidden="1" customWidth="1"/>
    <col min="6" max="6" width="13.77734375" hidden="1" customWidth="1"/>
    <col min="7" max="7" width="12" hidden="1" customWidth="1"/>
    <col min="8" max="8" width="19" hidden="1" customWidth="1"/>
    <col min="9" max="9" width="18.21875" hidden="1" customWidth="1"/>
    <col min="10" max="10" width="14.6640625" hidden="1" customWidth="1"/>
    <col min="11" max="11" width="14.21875" hidden="1" customWidth="1"/>
    <col min="12" max="12" width="9.77734375" hidden="1" customWidth="1"/>
    <col min="13" max="13" width="8.33203125" customWidth="1"/>
    <col min="14" max="14" width="19.5546875" hidden="1" customWidth="1"/>
    <col min="15" max="15" width="19.6640625" bestFit="1" customWidth="1"/>
    <col min="16" max="16" width="13.77734375" hidden="1" customWidth="1"/>
    <col min="17" max="17" width="12.77734375" hidden="1" customWidth="1"/>
    <col min="18" max="18" width="45.88671875" bestFit="1" customWidth="1"/>
    <col min="19" max="19" width="17.21875" hidden="1" customWidth="1"/>
    <col min="20" max="20" width="14.5546875" hidden="1" customWidth="1"/>
    <col min="21" max="21" width="8.77734375" hidden="1" customWidth="1"/>
    <col min="22" max="22" width="17.21875" hidden="1" customWidth="1"/>
    <col min="23" max="23" width="19.21875" hidden="1" customWidth="1"/>
    <col min="24" max="24" width="13.77734375" hidden="1" customWidth="1"/>
    <col min="25" max="25" width="16.44140625" hidden="1" customWidth="1"/>
    <col min="26" max="26" width="25.21875" hidden="1" customWidth="1"/>
    <col min="27" max="27" width="12" hidden="1" customWidth="1"/>
    <col min="28" max="28" width="22.77734375" hidden="1" customWidth="1"/>
    <col min="29" max="29" width="20.77734375" hidden="1" customWidth="1"/>
    <col min="30" max="30" width="23.109375" hidden="1" customWidth="1"/>
    <col min="31" max="31" width="18.21875" hidden="1" customWidth="1"/>
    <col min="32" max="32" width="20.6640625" hidden="1" customWidth="1"/>
    <col min="33" max="33" width="15.44140625" hidden="1" customWidth="1"/>
    <col min="34" max="34" width="13.6640625" hidden="1" customWidth="1"/>
    <col min="35" max="35" width="24.44140625" hidden="1" customWidth="1"/>
    <col min="36" max="36" width="22.33203125" hidden="1" customWidth="1"/>
    <col min="37" max="37" width="24.77734375" hidden="1" customWidth="1"/>
    <col min="38" max="38" width="19.88671875" hidden="1" customWidth="1"/>
    <col min="39" max="40" width="22.21875" hidden="1" customWidth="1"/>
    <col min="41" max="41" width="36.6640625" style="4" customWidth="1"/>
    <col min="42" max="42" width="16.21875" hidden="1" customWidth="1"/>
    <col min="43" max="43" width="16.77734375" hidden="1" customWidth="1"/>
    <col min="44" max="44" width="19" hidden="1" customWidth="1"/>
  </cols>
  <sheetData>
    <row r="1" spans="1:44" ht="28.8" x14ac:dyDescent="0.3">
      <c r="AO1" s="25" t="s">
        <v>81</v>
      </c>
    </row>
    <row r="2" spans="1:44" s="4" customFormat="1" x14ac:dyDescent="0.3">
      <c r="A2" s="20" t="s">
        <v>79</v>
      </c>
      <c r="B2" s="26" t="s">
        <v>1</v>
      </c>
      <c r="C2" s="26" t="s">
        <v>2</v>
      </c>
      <c r="D2" s="26" t="s">
        <v>3</v>
      </c>
      <c r="E2" s="26" t="s">
        <v>4</v>
      </c>
      <c r="F2" s="26" t="s">
        <v>5</v>
      </c>
      <c r="G2" s="26" t="s">
        <v>6</v>
      </c>
      <c r="H2" s="26" t="s">
        <v>7</v>
      </c>
      <c r="I2" s="26" t="s">
        <v>8</v>
      </c>
      <c r="J2" s="26" t="s">
        <v>9</v>
      </c>
      <c r="K2" s="26" t="s">
        <v>10</v>
      </c>
      <c r="L2" s="26" t="s">
        <v>11</v>
      </c>
      <c r="M2" s="26" t="s">
        <v>12</v>
      </c>
      <c r="N2" s="26" t="s">
        <v>13</v>
      </c>
      <c r="O2" s="26" t="s">
        <v>14</v>
      </c>
      <c r="P2" s="26" t="s">
        <v>15</v>
      </c>
      <c r="Q2" s="26" t="s">
        <v>16</v>
      </c>
      <c r="R2" s="26" t="s">
        <v>17</v>
      </c>
      <c r="S2" s="26" t="s">
        <v>18</v>
      </c>
      <c r="T2" s="26" t="s">
        <v>19</v>
      </c>
      <c r="U2" s="26" t="s">
        <v>20</v>
      </c>
      <c r="V2" s="26" t="s">
        <v>21</v>
      </c>
      <c r="W2" s="26" t="s">
        <v>22</v>
      </c>
      <c r="X2" s="26" t="s">
        <v>23</v>
      </c>
      <c r="Y2" s="26" t="s">
        <v>24</v>
      </c>
      <c r="Z2" s="26" t="s">
        <v>25</v>
      </c>
      <c r="AA2" s="26" t="s">
        <v>26</v>
      </c>
      <c r="AB2" s="26" t="s">
        <v>27</v>
      </c>
      <c r="AC2" s="26" t="s">
        <v>28</v>
      </c>
      <c r="AD2" s="26" t="s">
        <v>29</v>
      </c>
      <c r="AE2" s="26" t="s">
        <v>30</v>
      </c>
      <c r="AF2" s="26" t="s">
        <v>31</v>
      </c>
      <c r="AG2" s="26" t="s">
        <v>32</v>
      </c>
      <c r="AH2" s="26" t="s">
        <v>33</v>
      </c>
      <c r="AI2" s="26" t="s">
        <v>34</v>
      </c>
      <c r="AJ2" s="26" t="s">
        <v>35</v>
      </c>
      <c r="AK2" s="26" t="s">
        <v>36</v>
      </c>
      <c r="AL2" s="26" t="s">
        <v>37</v>
      </c>
      <c r="AM2" s="26" t="s">
        <v>38</v>
      </c>
      <c r="AN2" s="26" t="s">
        <v>39</v>
      </c>
      <c r="AO2" s="26" t="s">
        <v>40</v>
      </c>
      <c r="AP2" s="26" t="s">
        <v>41</v>
      </c>
      <c r="AQ2" s="26" t="s">
        <v>42</v>
      </c>
      <c r="AR2" s="26" t="s">
        <v>43</v>
      </c>
    </row>
    <row r="3" spans="1:44" x14ac:dyDescent="0.3">
      <c r="C3" s="9"/>
      <c r="L3" s="9"/>
      <c r="AO3" s="27"/>
    </row>
    <row r="4" spans="1:44" x14ac:dyDescent="0.3">
      <c r="C4" s="9"/>
      <c r="L4" s="9"/>
      <c r="AO4" s="27"/>
    </row>
    <row r="5" spans="1:44" x14ac:dyDescent="0.3">
      <c r="C5" s="23"/>
      <c r="D5" s="21"/>
      <c r="E5" s="21"/>
      <c r="F5" s="21"/>
      <c r="G5" s="21"/>
      <c r="H5" s="21"/>
      <c r="I5" s="21"/>
      <c r="J5" s="21"/>
      <c r="K5" s="21"/>
      <c r="L5" s="21"/>
      <c r="P5" s="21"/>
      <c r="Q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7"/>
    </row>
    <row r="6" spans="1:44" x14ac:dyDescent="0.3">
      <c r="C6" s="24"/>
      <c r="D6" s="22"/>
      <c r="E6" s="22"/>
      <c r="F6" s="22"/>
      <c r="G6" s="22"/>
      <c r="H6" s="22"/>
      <c r="I6" s="22"/>
      <c r="J6" s="22"/>
      <c r="K6" s="22"/>
      <c r="L6" s="22"/>
      <c r="P6" s="22"/>
      <c r="Q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7"/>
    </row>
    <row r="7" spans="1:44" x14ac:dyDescent="0.3">
      <c r="C7" s="44"/>
      <c r="D7" s="45"/>
      <c r="E7" s="45"/>
      <c r="F7" s="45"/>
      <c r="G7" s="45"/>
      <c r="H7" s="45"/>
      <c r="I7" s="45"/>
      <c r="J7" s="45"/>
      <c r="K7" s="45"/>
      <c r="L7" s="44"/>
      <c r="P7" s="45"/>
      <c r="Q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27"/>
    </row>
    <row r="8" spans="1:44" x14ac:dyDescent="0.3">
      <c r="C8" s="44"/>
      <c r="D8" s="45"/>
      <c r="E8" s="45"/>
      <c r="F8" s="45"/>
      <c r="G8" s="45"/>
      <c r="H8" s="45"/>
      <c r="I8" s="45"/>
      <c r="J8" s="45"/>
      <c r="K8" s="45"/>
      <c r="L8" s="44"/>
      <c r="P8" s="45"/>
      <c r="Q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27"/>
    </row>
    <row r="9" spans="1:44" x14ac:dyDescent="0.3">
      <c r="C9" s="44"/>
      <c r="D9" s="45"/>
      <c r="E9" s="45"/>
      <c r="F9" s="45"/>
      <c r="G9" s="45"/>
      <c r="H9" s="45"/>
      <c r="I9" s="45"/>
      <c r="J9" s="45"/>
      <c r="K9" s="45"/>
      <c r="L9" s="44"/>
      <c r="P9" s="45"/>
      <c r="Q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27"/>
    </row>
    <row r="10" spans="1:44" x14ac:dyDescent="0.3">
      <c r="C10" s="44"/>
      <c r="D10" s="45"/>
      <c r="E10" s="45"/>
      <c r="F10" s="45"/>
      <c r="G10" s="45"/>
      <c r="H10" s="45"/>
      <c r="I10" s="45"/>
      <c r="J10" s="45"/>
      <c r="K10" s="45"/>
      <c r="L10" s="44"/>
      <c r="P10" s="45"/>
      <c r="Q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27"/>
    </row>
    <row r="11" spans="1:44" x14ac:dyDescent="0.3">
      <c r="C11" s="44"/>
      <c r="D11" s="45"/>
      <c r="E11" s="45"/>
      <c r="F11" s="45"/>
      <c r="G11" s="45"/>
      <c r="H11" s="45"/>
      <c r="I11" s="45"/>
      <c r="J11" s="45"/>
      <c r="K11" s="45"/>
      <c r="L11" s="44"/>
      <c r="P11" s="45"/>
      <c r="Q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27"/>
    </row>
    <row r="12" spans="1:44" x14ac:dyDescent="0.3">
      <c r="C12" s="44"/>
      <c r="D12" s="45"/>
      <c r="E12" s="45"/>
      <c r="F12" s="45"/>
      <c r="G12" s="45"/>
      <c r="H12" s="45"/>
      <c r="I12" s="45"/>
      <c r="J12" s="45"/>
      <c r="K12" s="45"/>
      <c r="L12" s="44"/>
      <c r="P12" s="45"/>
      <c r="Q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27"/>
    </row>
    <row r="13" spans="1:44" x14ac:dyDescent="0.3">
      <c r="C13" s="44"/>
      <c r="D13" s="45"/>
      <c r="E13" s="45"/>
      <c r="F13" s="45"/>
      <c r="G13" s="45"/>
      <c r="H13" s="45"/>
      <c r="I13" s="45"/>
      <c r="J13" s="45"/>
      <c r="K13" s="45"/>
      <c r="L13" s="44"/>
      <c r="P13" s="45"/>
      <c r="Q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27"/>
    </row>
    <row r="14" spans="1:44" x14ac:dyDescent="0.3">
      <c r="C14" s="44"/>
      <c r="D14" s="45"/>
      <c r="E14" s="45"/>
      <c r="F14" s="45"/>
      <c r="G14" s="45"/>
      <c r="H14" s="45"/>
      <c r="I14" s="45"/>
      <c r="J14" s="45"/>
      <c r="K14" s="45"/>
      <c r="L14" s="44"/>
      <c r="P14" s="45"/>
      <c r="Q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27"/>
    </row>
    <row r="15" spans="1:44" x14ac:dyDescent="0.3">
      <c r="C15" s="44"/>
      <c r="D15" s="45"/>
      <c r="E15" s="45"/>
      <c r="F15" s="45"/>
      <c r="G15" s="45"/>
      <c r="H15" s="45"/>
      <c r="I15" s="45"/>
      <c r="J15" s="45"/>
      <c r="K15" s="45"/>
      <c r="L15" s="44"/>
      <c r="P15" s="45"/>
      <c r="Q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27"/>
    </row>
    <row r="16" spans="1:44" x14ac:dyDescent="0.3">
      <c r="C16" s="44"/>
      <c r="D16" s="45"/>
      <c r="E16" s="45"/>
      <c r="F16" s="45"/>
      <c r="G16" s="45"/>
      <c r="H16" s="45"/>
      <c r="I16" s="45"/>
      <c r="J16" s="45"/>
      <c r="K16" s="45"/>
      <c r="L16" s="44"/>
      <c r="P16" s="45"/>
      <c r="Q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27"/>
    </row>
    <row r="17" spans="3:41" x14ac:dyDescent="0.3">
      <c r="C17" s="44"/>
      <c r="D17" s="45"/>
      <c r="E17" s="45"/>
      <c r="F17" s="45"/>
      <c r="G17" s="45"/>
      <c r="H17" s="45"/>
      <c r="I17" s="45"/>
      <c r="J17" s="45"/>
      <c r="K17" s="45"/>
      <c r="L17" s="44"/>
      <c r="P17" s="45"/>
      <c r="Q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27"/>
    </row>
    <row r="18" spans="3:41" x14ac:dyDescent="0.3">
      <c r="C18" s="44"/>
      <c r="D18" s="45"/>
      <c r="E18" s="45"/>
      <c r="F18" s="45"/>
      <c r="G18" s="45"/>
      <c r="H18" s="45"/>
      <c r="I18" s="45"/>
      <c r="J18" s="45"/>
      <c r="K18" s="45"/>
      <c r="L18" s="44"/>
      <c r="P18" s="45"/>
      <c r="Q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27"/>
    </row>
    <row r="19" spans="3:41" x14ac:dyDescent="0.3">
      <c r="C19" s="44"/>
      <c r="D19" s="45"/>
      <c r="E19" s="45"/>
      <c r="F19" s="45"/>
      <c r="G19" s="45"/>
      <c r="H19" s="45"/>
      <c r="I19" s="45"/>
      <c r="J19" s="45"/>
      <c r="K19" s="45"/>
      <c r="L19" s="44"/>
      <c r="P19" s="45"/>
      <c r="Q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27"/>
    </row>
    <row r="20" spans="3:41" x14ac:dyDescent="0.3">
      <c r="C20" s="44"/>
      <c r="D20" s="45"/>
      <c r="E20" s="45"/>
      <c r="F20" s="45"/>
      <c r="G20" s="45"/>
      <c r="H20" s="45"/>
      <c r="I20" s="45"/>
      <c r="J20" s="45"/>
      <c r="K20" s="45"/>
      <c r="L20" s="44"/>
      <c r="P20" s="45"/>
      <c r="Q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27"/>
    </row>
    <row r="21" spans="3:41" x14ac:dyDescent="0.3">
      <c r="C21" s="44"/>
      <c r="D21" s="45"/>
      <c r="E21" s="45"/>
      <c r="F21" s="45"/>
      <c r="G21" s="45"/>
      <c r="H21" s="45"/>
      <c r="I21" s="45"/>
      <c r="J21" s="45"/>
      <c r="K21" s="45"/>
      <c r="L21" s="44"/>
      <c r="P21" s="45"/>
      <c r="Q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27"/>
    </row>
    <row r="22" spans="3:41" x14ac:dyDescent="0.3">
      <c r="C22" s="44"/>
      <c r="D22" s="45"/>
      <c r="E22" s="45"/>
      <c r="F22" s="45"/>
      <c r="G22" s="45"/>
      <c r="H22" s="45"/>
      <c r="I22" s="45"/>
      <c r="J22" s="45"/>
      <c r="K22" s="45"/>
      <c r="L22" s="44"/>
      <c r="P22" s="45"/>
      <c r="Q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27"/>
    </row>
    <row r="23" spans="3:41" x14ac:dyDescent="0.3">
      <c r="C23" s="44"/>
      <c r="D23" s="45"/>
      <c r="E23" s="45"/>
      <c r="F23" s="45"/>
      <c r="G23" s="45"/>
      <c r="H23" s="45"/>
      <c r="I23" s="45"/>
      <c r="J23" s="45"/>
      <c r="K23" s="45"/>
      <c r="L23" s="44"/>
      <c r="P23" s="45"/>
      <c r="Q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27"/>
    </row>
    <row r="24" spans="3:41" x14ac:dyDescent="0.3">
      <c r="C24" s="44"/>
      <c r="D24" s="45"/>
      <c r="E24" s="45"/>
      <c r="F24" s="45"/>
      <c r="G24" s="45"/>
      <c r="H24" s="45"/>
      <c r="I24" s="45"/>
      <c r="J24" s="45"/>
      <c r="K24" s="45"/>
      <c r="L24" s="44"/>
      <c r="P24" s="45"/>
      <c r="Q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27"/>
    </row>
    <row r="25" spans="3:41" x14ac:dyDescent="0.3">
      <c r="C25" s="44"/>
      <c r="D25" s="45"/>
      <c r="E25" s="45"/>
      <c r="F25" s="45"/>
      <c r="G25" s="45"/>
      <c r="H25" s="45"/>
      <c r="I25" s="45"/>
      <c r="J25" s="45"/>
      <c r="K25" s="45"/>
      <c r="L25" s="44"/>
      <c r="P25" s="45"/>
      <c r="Q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27"/>
    </row>
    <row r="26" spans="3:41" x14ac:dyDescent="0.3">
      <c r="C26" s="44"/>
      <c r="D26" s="45"/>
      <c r="E26" s="45"/>
      <c r="F26" s="45"/>
      <c r="G26" s="45"/>
      <c r="H26" s="45"/>
      <c r="I26" s="45"/>
      <c r="J26" s="45"/>
      <c r="K26" s="45"/>
      <c r="L26" s="44"/>
      <c r="P26" s="45"/>
      <c r="Q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27"/>
    </row>
    <row r="27" spans="3:41" x14ac:dyDescent="0.3">
      <c r="C27" s="44"/>
      <c r="D27" s="45"/>
      <c r="E27" s="45"/>
      <c r="F27" s="45"/>
      <c r="G27" s="45"/>
      <c r="H27" s="45"/>
      <c r="I27" s="45"/>
      <c r="J27" s="45"/>
      <c r="K27" s="45"/>
      <c r="L27" s="44"/>
      <c r="P27" s="45"/>
      <c r="Q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27"/>
    </row>
    <row r="28" spans="3:41" x14ac:dyDescent="0.3">
      <c r="C28" s="44"/>
      <c r="D28" s="45"/>
      <c r="E28" s="45"/>
      <c r="F28" s="45"/>
      <c r="G28" s="45"/>
      <c r="H28" s="45"/>
      <c r="I28" s="45"/>
      <c r="J28" s="45"/>
      <c r="K28" s="45"/>
      <c r="L28" s="44"/>
      <c r="P28" s="45"/>
      <c r="Q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27"/>
    </row>
    <row r="29" spans="3:41" x14ac:dyDescent="0.3">
      <c r="C29" s="44"/>
      <c r="D29" s="45"/>
      <c r="E29" s="45"/>
      <c r="F29" s="45"/>
      <c r="G29" s="45"/>
      <c r="H29" s="45"/>
      <c r="I29" s="45"/>
      <c r="J29" s="45"/>
      <c r="K29" s="45"/>
      <c r="L29" s="44"/>
      <c r="P29" s="45"/>
      <c r="Q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27"/>
    </row>
    <row r="30" spans="3:41" x14ac:dyDescent="0.3">
      <c r="C30" s="44"/>
      <c r="D30" s="45"/>
      <c r="E30" s="45"/>
      <c r="F30" s="45"/>
      <c r="G30" s="45"/>
      <c r="H30" s="45"/>
      <c r="I30" s="45"/>
      <c r="J30" s="45"/>
      <c r="K30" s="45"/>
      <c r="L30" s="44"/>
      <c r="P30" s="45"/>
      <c r="Q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27"/>
    </row>
    <row r="31" spans="3:41" x14ac:dyDescent="0.3">
      <c r="C31" s="44"/>
      <c r="D31" s="45"/>
      <c r="E31" s="45"/>
      <c r="F31" s="45"/>
      <c r="G31" s="45"/>
      <c r="H31" s="45"/>
      <c r="I31" s="45"/>
      <c r="J31" s="45"/>
      <c r="K31" s="45"/>
      <c r="L31" s="44"/>
      <c r="P31" s="45"/>
      <c r="Q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27"/>
    </row>
    <row r="32" spans="3:41" x14ac:dyDescent="0.3">
      <c r="C32" s="44"/>
      <c r="D32" s="45"/>
      <c r="E32" s="45"/>
      <c r="F32" s="45"/>
      <c r="G32" s="45"/>
      <c r="H32" s="45"/>
      <c r="I32" s="45"/>
      <c r="J32" s="45"/>
      <c r="K32" s="45"/>
      <c r="L32" s="44"/>
      <c r="P32" s="45"/>
      <c r="Q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27"/>
    </row>
    <row r="33" spans="1:44" x14ac:dyDescent="0.3">
      <c r="C33" s="44"/>
      <c r="D33" s="45"/>
      <c r="E33" s="45"/>
      <c r="F33" s="45"/>
      <c r="G33" s="45"/>
      <c r="H33" s="45"/>
      <c r="I33" s="45"/>
      <c r="J33" s="45"/>
      <c r="K33" s="45"/>
      <c r="L33" s="44"/>
      <c r="P33" s="45"/>
      <c r="Q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27"/>
    </row>
    <row r="34" spans="1:44" x14ac:dyDescent="0.3">
      <c r="A34" s="18">
        <f>SUM(A3:A33)</f>
        <v>0</v>
      </c>
      <c r="AP34" s="4"/>
      <c r="AQ34" s="4"/>
      <c r="AR34" s="4"/>
    </row>
    <row r="35" spans="1:44" x14ac:dyDescent="0.3">
      <c r="AP35" s="4"/>
      <c r="AQ35" s="4"/>
      <c r="AR35" s="4"/>
    </row>
    <row r="36" spans="1:44" x14ac:dyDescent="0.3">
      <c r="C36" s="9"/>
      <c r="AO36" s="27"/>
      <c r="AP36" s="27"/>
      <c r="AQ36" s="27"/>
      <c r="AR36" s="27"/>
    </row>
    <row r="37" spans="1:44" x14ac:dyDescent="0.3">
      <c r="C37" s="9"/>
      <c r="AO37" s="27"/>
    </row>
    <row r="38" spans="1:44" x14ac:dyDescent="0.3">
      <c r="C38" s="9"/>
      <c r="AO38" s="27"/>
    </row>
    <row r="39" spans="1:44" x14ac:dyDescent="0.3">
      <c r="C39" s="9"/>
      <c r="AO39" s="27"/>
    </row>
  </sheetData>
  <conditionalFormatting sqref="D2">
    <cfRule type="duplicateValues" dxfId="1" priority="1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E148-6845-4DC9-945C-91C2FB3BFCA8}">
  <dimension ref="A1:AZ282"/>
  <sheetViews>
    <sheetView topLeftCell="AL5" zoomScale="70" zoomScaleNormal="70" workbookViewId="0">
      <selection activeCell="AZ5" sqref="AZ5"/>
    </sheetView>
  </sheetViews>
  <sheetFormatPr defaultRowHeight="14.4" x14ac:dyDescent="0.3"/>
  <cols>
    <col min="1" max="1" width="15.21875" bestFit="1" customWidth="1"/>
    <col min="2" max="2" width="11.88671875" bestFit="1" customWidth="1"/>
    <col min="3" max="3" width="8.44140625" bestFit="1" customWidth="1"/>
    <col min="4" max="4" width="18.88671875" bestFit="1" customWidth="1"/>
    <col min="5" max="5" width="28.44140625" bestFit="1" customWidth="1"/>
    <col min="6" max="6" width="17.5546875" bestFit="1" customWidth="1"/>
    <col min="7" max="7" width="29.44140625" bestFit="1" customWidth="1"/>
    <col min="8" max="8" width="7" bestFit="1" customWidth="1"/>
    <col min="9" max="9" width="11.21875" bestFit="1" customWidth="1"/>
    <col min="10" max="11" width="26.6640625" bestFit="1" customWidth="1"/>
    <col min="12" max="12" width="12.77734375" bestFit="1" customWidth="1"/>
    <col min="13" max="13" width="12.21875" bestFit="1" customWidth="1"/>
    <col min="14" max="14" width="12.77734375" bestFit="1" customWidth="1"/>
    <col min="15" max="15" width="14.88671875" bestFit="1" customWidth="1"/>
    <col min="16" max="16" width="12.77734375" bestFit="1" customWidth="1"/>
    <col min="17" max="17" width="11.21875" bestFit="1" customWidth="1"/>
    <col min="18" max="18" width="16" bestFit="1" customWidth="1"/>
    <col min="19" max="19" width="13.44140625" bestFit="1" customWidth="1"/>
    <col min="20" max="20" width="10.6640625" bestFit="1" customWidth="1"/>
    <col min="21" max="21" width="46.44140625" bestFit="1" customWidth="1"/>
    <col min="22" max="22" width="13.6640625" bestFit="1" customWidth="1"/>
    <col min="23" max="23" width="11.109375" bestFit="1" customWidth="1"/>
    <col min="24" max="24" width="11.21875" bestFit="1" customWidth="1"/>
    <col min="25" max="25" width="6.21875" bestFit="1" customWidth="1"/>
    <col min="26" max="26" width="14.5546875" bestFit="1" customWidth="1"/>
    <col min="27" max="27" width="14.6640625" bestFit="1" customWidth="1"/>
    <col min="28" max="28" width="8.44140625" bestFit="1" customWidth="1"/>
    <col min="29" max="29" width="13.77734375" bestFit="1" customWidth="1"/>
    <col min="30" max="30" width="9.21875" bestFit="1" customWidth="1"/>
    <col min="31" max="31" width="31.88671875" bestFit="1" customWidth="1"/>
    <col min="32" max="32" width="10.5546875" bestFit="1" customWidth="1"/>
    <col min="33" max="33" width="13.21875" style="11" bestFit="1" customWidth="1"/>
    <col min="34" max="34" width="16.6640625" style="11" bestFit="1" customWidth="1"/>
    <col min="35" max="35" width="8.77734375" bestFit="1" customWidth="1"/>
    <col min="36" max="36" width="14.5546875" bestFit="1" customWidth="1"/>
    <col min="37" max="37" width="12.33203125" bestFit="1" customWidth="1"/>
    <col min="38" max="38" width="14.77734375" bestFit="1" customWidth="1"/>
    <col min="39" max="39" width="9.88671875" bestFit="1" customWidth="1"/>
    <col min="40" max="40" width="12" bestFit="1" customWidth="1"/>
    <col min="41" max="41" width="12.109375" bestFit="1" customWidth="1"/>
    <col min="42" max="42" width="10.33203125" bestFit="1" customWidth="1"/>
    <col min="43" max="43" width="21.21875" bestFit="1" customWidth="1"/>
    <col min="44" max="44" width="19" bestFit="1" customWidth="1"/>
    <col min="45" max="45" width="21.33203125" bestFit="1" customWidth="1"/>
    <col min="46" max="46" width="16.44140625" bestFit="1" customWidth="1"/>
    <col min="47" max="47" width="18.6640625" bestFit="1" customWidth="1"/>
    <col min="48" max="48" width="13" bestFit="1" customWidth="1"/>
    <col min="49" max="49" width="12.5546875" bestFit="1" customWidth="1"/>
    <col min="50" max="50" width="14.44140625" bestFit="1" customWidth="1"/>
    <col min="51" max="51" width="19.44140625" bestFit="1" customWidth="1"/>
    <col min="52" max="52" width="18.21875" bestFit="1" customWidth="1"/>
  </cols>
  <sheetData>
    <row r="1" spans="1:52" x14ac:dyDescent="0.3">
      <c r="A1" s="6" t="s">
        <v>48</v>
      </c>
    </row>
    <row r="5" spans="1:52" x14ac:dyDescent="0.3">
      <c r="A5" s="15" t="s">
        <v>49</v>
      </c>
      <c r="B5" s="15" t="s">
        <v>50</v>
      </c>
      <c r="C5" s="15" t="s">
        <v>12</v>
      </c>
      <c r="D5" s="15" t="s">
        <v>14</v>
      </c>
      <c r="E5" s="15" t="s">
        <v>51</v>
      </c>
      <c r="F5" s="15" t="s">
        <v>52</v>
      </c>
      <c r="G5" s="15" t="s">
        <v>11</v>
      </c>
      <c r="H5" s="15" t="s">
        <v>53</v>
      </c>
      <c r="I5" s="15" t="s">
        <v>54</v>
      </c>
      <c r="J5" s="15" t="s">
        <v>55</v>
      </c>
      <c r="K5" s="15" t="s">
        <v>6</v>
      </c>
      <c r="L5" s="15" t="s">
        <v>56</v>
      </c>
      <c r="M5" s="15" t="s">
        <v>57</v>
      </c>
      <c r="N5" s="15" t="s">
        <v>58</v>
      </c>
      <c r="O5" s="15" t="s">
        <v>59</v>
      </c>
      <c r="P5" s="15" t="s">
        <v>60</v>
      </c>
      <c r="Q5" s="15" t="s">
        <v>61</v>
      </c>
      <c r="R5" s="15" t="s">
        <v>13</v>
      </c>
      <c r="S5" s="15" t="s">
        <v>15</v>
      </c>
      <c r="T5" s="15" t="s">
        <v>16</v>
      </c>
      <c r="U5" s="15" t="s">
        <v>17</v>
      </c>
      <c r="V5" s="15" t="s">
        <v>18</v>
      </c>
      <c r="W5" s="15" t="s">
        <v>19</v>
      </c>
      <c r="X5" s="15" t="s">
        <v>62</v>
      </c>
      <c r="Y5" s="15" t="s">
        <v>63</v>
      </c>
      <c r="Z5" s="15" t="s">
        <v>46</v>
      </c>
      <c r="AA5" s="15" t="s">
        <v>64</v>
      </c>
      <c r="AB5" s="15" t="s">
        <v>20</v>
      </c>
      <c r="AC5" s="15" t="s">
        <v>21</v>
      </c>
      <c r="AD5" s="15" t="s">
        <v>65</v>
      </c>
      <c r="AE5" s="15" t="s">
        <v>42</v>
      </c>
      <c r="AF5" s="15" t="s">
        <v>23</v>
      </c>
      <c r="AG5" s="15" t="s">
        <v>24</v>
      </c>
      <c r="AH5" s="15" t="s">
        <v>66</v>
      </c>
      <c r="AI5" s="15" t="s">
        <v>26</v>
      </c>
      <c r="AJ5" s="15" t="s">
        <v>67</v>
      </c>
      <c r="AK5" s="15" t="s">
        <v>68</v>
      </c>
      <c r="AL5" s="15" t="s">
        <v>69</v>
      </c>
      <c r="AM5" s="15" t="s">
        <v>70</v>
      </c>
      <c r="AN5" s="15" t="s">
        <v>71</v>
      </c>
      <c r="AO5" s="15" t="s">
        <v>72</v>
      </c>
      <c r="AP5" s="15" t="s">
        <v>73</v>
      </c>
      <c r="AQ5" s="15" t="s">
        <v>34</v>
      </c>
      <c r="AR5" s="15" t="s">
        <v>35</v>
      </c>
      <c r="AS5" s="15" t="s">
        <v>36</v>
      </c>
      <c r="AT5" s="15" t="s">
        <v>37</v>
      </c>
      <c r="AU5" s="15" t="s">
        <v>38</v>
      </c>
      <c r="AV5" s="15" t="s">
        <v>41</v>
      </c>
      <c r="AW5" s="15" t="s">
        <v>74</v>
      </c>
      <c r="AX5" s="15" t="s">
        <v>75</v>
      </c>
      <c r="AY5" s="15" t="s">
        <v>76</v>
      </c>
      <c r="AZ5" s="15" t="s">
        <v>77</v>
      </c>
    </row>
    <row r="6" spans="1:52" x14ac:dyDescent="0.3">
      <c r="A6">
        <v>3920</v>
      </c>
      <c r="B6" t="s">
        <v>104</v>
      </c>
      <c r="C6" t="s">
        <v>180</v>
      </c>
      <c r="D6" t="s">
        <v>181</v>
      </c>
      <c r="E6" t="s">
        <v>105</v>
      </c>
      <c r="F6" t="s">
        <v>829</v>
      </c>
      <c r="G6" t="s">
        <v>179</v>
      </c>
      <c r="H6">
        <v>0</v>
      </c>
      <c r="I6">
        <v>0</v>
      </c>
      <c r="J6" t="s">
        <v>106</v>
      </c>
      <c r="K6" t="s">
        <v>106</v>
      </c>
      <c r="N6" s="9">
        <v>46114</v>
      </c>
      <c r="O6">
        <v>10645</v>
      </c>
      <c r="P6">
        <v>1</v>
      </c>
      <c r="Q6">
        <v>1</v>
      </c>
      <c r="R6" t="s">
        <v>86</v>
      </c>
      <c r="S6" t="s">
        <v>87</v>
      </c>
      <c r="T6" t="s">
        <v>182</v>
      </c>
      <c r="U6" t="s">
        <v>830</v>
      </c>
      <c r="V6">
        <v>2026</v>
      </c>
      <c r="W6">
        <v>2026</v>
      </c>
      <c r="X6" t="s">
        <v>107</v>
      </c>
      <c r="Y6">
        <v>0</v>
      </c>
      <c r="Z6">
        <v>0</v>
      </c>
      <c r="AA6">
        <v>0</v>
      </c>
      <c r="AB6" t="s">
        <v>184</v>
      </c>
      <c r="AC6">
        <v>85</v>
      </c>
      <c r="AD6">
        <v>104702</v>
      </c>
      <c r="AE6" t="s">
        <v>108</v>
      </c>
      <c r="AF6">
        <v>2105.8200000000002</v>
      </c>
      <c r="AG6">
        <v>5824.6</v>
      </c>
      <c r="AH6">
        <v>0</v>
      </c>
      <c r="AI6">
        <v>150000</v>
      </c>
      <c r="AJ6">
        <v>0</v>
      </c>
      <c r="AK6">
        <v>150000</v>
      </c>
      <c r="AL6">
        <v>10000</v>
      </c>
      <c r="AM6">
        <v>10000</v>
      </c>
      <c r="AN6">
        <v>601.66</v>
      </c>
      <c r="AO6">
        <v>0</v>
      </c>
      <c r="AP6">
        <v>150.41999999999999</v>
      </c>
      <c r="AQ6">
        <v>75.209999999999994</v>
      </c>
      <c r="AR6">
        <v>75.209999999999994</v>
      </c>
      <c r="AS6" t="s">
        <v>86</v>
      </c>
      <c r="AT6" t="s">
        <v>86</v>
      </c>
      <c r="AU6">
        <v>0</v>
      </c>
      <c r="AV6">
        <v>0</v>
      </c>
    </row>
    <row r="7" spans="1:52" x14ac:dyDescent="0.3">
      <c r="A7">
        <v>3921</v>
      </c>
      <c r="B7" t="s">
        <v>104</v>
      </c>
      <c r="C7" t="s">
        <v>187</v>
      </c>
      <c r="D7" t="s">
        <v>188</v>
      </c>
      <c r="E7" t="s">
        <v>105</v>
      </c>
      <c r="F7" t="s">
        <v>185</v>
      </c>
      <c r="G7" t="s">
        <v>186</v>
      </c>
      <c r="H7">
        <v>0</v>
      </c>
      <c r="I7">
        <v>0</v>
      </c>
      <c r="J7" t="s">
        <v>106</v>
      </c>
      <c r="K7" t="s">
        <v>106</v>
      </c>
      <c r="N7" s="9">
        <v>46114</v>
      </c>
      <c r="O7">
        <v>10675</v>
      </c>
      <c r="P7">
        <v>1</v>
      </c>
      <c r="Q7">
        <v>1</v>
      </c>
      <c r="R7" t="s">
        <v>86</v>
      </c>
      <c r="S7" t="s">
        <v>87</v>
      </c>
      <c r="T7" t="s">
        <v>123</v>
      </c>
      <c r="U7" t="s">
        <v>831</v>
      </c>
      <c r="V7">
        <v>2025</v>
      </c>
      <c r="W7">
        <v>2025</v>
      </c>
      <c r="X7" t="s">
        <v>112</v>
      </c>
      <c r="Y7">
        <v>0</v>
      </c>
      <c r="Z7">
        <v>0</v>
      </c>
      <c r="AA7">
        <v>0</v>
      </c>
      <c r="AB7" t="s">
        <v>125</v>
      </c>
      <c r="AC7">
        <v>85</v>
      </c>
      <c r="AD7">
        <v>431520</v>
      </c>
      <c r="AE7" t="s">
        <v>113</v>
      </c>
      <c r="AF7">
        <v>2783.8</v>
      </c>
      <c r="AG7">
        <v>17499.5</v>
      </c>
      <c r="AH7">
        <v>0</v>
      </c>
      <c r="AI7">
        <v>300000</v>
      </c>
      <c r="AJ7">
        <v>0</v>
      </c>
      <c r="AK7">
        <v>300000</v>
      </c>
      <c r="AL7">
        <v>10000</v>
      </c>
      <c r="AM7">
        <v>10000</v>
      </c>
      <c r="AN7">
        <v>795.37</v>
      </c>
      <c r="AO7">
        <v>0</v>
      </c>
      <c r="AP7">
        <v>198.84</v>
      </c>
      <c r="AQ7">
        <v>99.42</v>
      </c>
      <c r="AR7">
        <v>99.42</v>
      </c>
      <c r="AS7" t="s">
        <v>86</v>
      </c>
      <c r="AT7" t="s">
        <v>86</v>
      </c>
      <c r="AU7">
        <v>0</v>
      </c>
      <c r="AV7">
        <v>0</v>
      </c>
    </row>
    <row r="8" spans="1:52" x14ac:dyDescent="0.3">
      <c r="A8">
        <v>3922</v>
      </c>
      <c r="B8" t="s">
        <v>104</v>
      </c>
      <c r="C8" t="s">
        <v>192</v>
      </c>
      <c r="D8" t="s">
        <v>193</v>
      </c>
      <c r="E8" t="s">
        <v>105</v>
      </c>
      <c r="F8" t="s">
        <v>190</v>
      </c>
      <c r="G8" t="s">
        <v>191</v>
      </c>
      <c r="H8">
        <v>0</v>
      </c>
      <c r="I8">
        <v>0</v>
      </c>
      <c r="J8" t="s">
        <v>106</v>
      </c>
      <c r="K8" t="s">
        <v>106</v>
      </c>
      <c r="N8" s="9">
        <v>46114</v>
      </c>
      <c r="O8">
        <v>10660</v>
      </c>
      <c r="P8">
        <v>1</v>
      </c>
      <c r="Q8">
        <v>1</v>
      </c>
      <c r="R8" t="s">
        <v>86</v>
      </c>
      <c r="S8" t="s">
        <v>87</v>
      </c>
      <c r="T8" t="s">
        <v>91</v>
      </c>
      <c r="U8" t="s">
        <v>111</v>
      </c>
      <c r="V8">
        <v>2024</v>
      </c>
      <c r="W8">
        <v>2024</v>
      </c>
      <c r="X8" t="s">
        <v>112</v>
      </c>
      <c r="Y8">
        <v>0</v>
      </c>
      <c r="Z8">
        <v>0</v>
      </c>
      <c r="AA8">
        <v>0</v>
      </c>
      <c r="AB8" t="s">
        <v>93</v>
      </c>
      <c r="AC8">
        <v>85</v>
      </c>
      <c r="AD8">
        <v>450414</v>
      </c>
      <c r="AE8" t="s">
        <v>113</v>
      </c>
      <c r="AF8">
        <v>3942.3</v>
      </c>
      <c r="AG8">
        <v>24782.1</v>
      </c>
      <c r="AH8">
        <v>0</v>
      </c>
      <c r="AI8">
        <v>300000</v>
      </c>
      <c r="AJ8">
        <v>0</v>
      </c>
      <c r="AK8">
        <v>300000</v>
      </c>
      <c r="AL8">
        <v>10000</v>
      </c>
      <c r="AM8">
        <v>10000</v>
      </c>
      <c r="AN8">
        <v>1126.3699999999999</v>
      </c>
      <c r="AO8">
        <v>0</v>
      </c>
      <c r="AP8">
        <v>281.58999999999997</v>
      </c>
      <c r="AQ8">
        <v>140.80000000000001</v>
      </c>
      <c r="AR8">
        <v>140.80000000000001</v>
      </c>
      <c r="AS8" t="s">
        <v>86</v>
      </c>
      <c r="AT8" t="s">
        <v>86</v>
      </c>
      <c r="AU8">
        <v>0</v>
      </c>
      <c r="AV8">
        <v>0</v>
      </c>
    </row>
    <row r="9" spans="1:52" x14ac:dyDescent="0.3">
      <c r="A9">
        <v>3923</v>
      </c>
      <c r="B9" t="s">
        <v>104</v>
      </c>
      <c r="C9" t="s">
        <v>194</v>
      </c>
      <c r="D9" t="s">
        <v>195</v>
      </c>
      <c r="E9" t="s">
        <v>105</v>
      </c>
      <c r="F9" t="s">
        <v>97</v>
      </c>
      <c r="G9" t="s">
        <v>98</v>
      </c>
      <c r="H9">
        <v>0</v>
      </c>
      <c r="I9">
        <v>0</v>
      </c>
      <c r="J9" t="s">
        <v>106</v>
      </c>
      <c r="K9" t="s">
        <v>106</v>
      </c>
      <c r="N9" s="9">
        <v>46114</v>
      </c>
      <c r="O9">
        <v>10420</v>
      </c>
      <c r="P9">
        <v>8</v>
      </c>
      <c r="Q9">
        <v>31</v>
      </c>
      <c r="R9" t="s">
        <v>86</v>
      </c>
      <c r="S9" t="s">
        <v>87</v>
      </c>
      <c r="T9" t="s">
        <v>102</v>
      </c>
      <c r="U9" t="s">
        <v>118</v>
      </c>
      <c r="V9">
        <v>2025</v>
      </c>
      <c r="W9">
        <v>2026</v>
      </c>
      <c r="X9" t="s">
        <v>107</v>
      </c>
      <c r="Y9">
        <v>0</v>
      </c>
      <c r="Z9">
        <v>0</v>
      </c>
      <c r="AA9">
        <v>0</v>
      </c>
      <c r="AB9" t="s">
        <v>101</v>
      </c>
      <c r="AC9">
        <v>85</v>
      </c>
      <c r="AD9">
        <v>112451</v>
      </c>
      <c r="AE9" t="s">
        <v>117</v>
      </c>
      <c r="AF9">
        <v>1675.54</v>
      </c>
      <c r="AG9">
        <v>7049</v>
      </c>
      <c r="AH9">
        <v>0</v>
      </c>
      <c r="AI9">
        <v>1000000</v>
      </c>
      <c r="AJ9">
        <v>200000</v>
      </c>
      <c r="AK9">
        <v>1000000</v>
      </c>
      <c r="AL9">
        <v>10000</v>
      </c>
      <c r="AM9">
        <v>10000</v>
      </c>
      <c r="AN9">
        <v>450.37</v>
      </c>
      <c r="AO9">
        <v>450.37</v>
      </c>
      <c r="AP9">
        <v>112.59</v>
      </c>
      <c r="AQ9">
        <v>56.3</v>
      </c>
      <c r="AR9">
        <v>56.3</v>
      </c>
      <c r="AS9" t="s">
        <v>86</v>
      </c>
      <c r="AT9" t="s">
        <v>86</v>
      </c>
      <c r="AU9">
        <v>0</v>
      </c>
      <c r="AV9">
        <v>0</v>
      </c>
    </row>
    <row r="10" spans="1:52" x14ac:dyDescent="0.3">
      <c r="A10">
        <v>3924</v>
      </c>
      <c r="B10" t="s">
        <v>104</v>
      </c>
      <c r="C10" t="s">
        <v>196</v>
      </c>
      <c r="D10" t="s">
        <v>197</v>
      </c>
      <c r="E10" t="s">
        <v>105</v>
      </c>
      <c r="F10" t="s">
        <v>97</v>
      </c>
      <c r="G10" t="s">
        <v>98</v>
      </c>
      <c r="H10">
        <v>0</v>
      </c>
      <c r="I10">
        <v>0</v>
      </c>
      <c r="J10" t="s">
        <v>106</v>
      </c>
      <c r="K10" t="s">
        <v>106</v>
      </c>
      <c r="N10" s="9">
        <v>46114</v>
      </c>
      <c r="O10">
        <v>10420</v>
      </c>
      <c r="P10">
        <v>9</v>
      </c>
      <c r="Q10">
        <v>94</v>
      </c>
      <c r="R10" t="s">
        <v>86</v>
      </c>
      <c r="S10" t="s">
        <v>87</v>
      </c>
      <c r="T10" t="s">
        <v>99</v>
      </c>
      <c r="U10" t="s">
        <v>116</v>
      </c>
      <c r="V10">
        <v>2026</v>
      </c>
      <c r="W10">
        <v>2026</v>
      </c>
      <c r="X10" t="s">
        <v>107</v>
      </c>
      <c r="Y10">
        <v>0</v>
      </c>
      <c r="Z10">
        <v>0</v>
      </c>
      <c r="AA10">
        <v>0</v>
      </c>
      <c r="AB10" t="s">
        <v>101</v>
      </c>
      <c r="AC10">
        <v>85</v>
      </c>
      <c r="AD10">
        <v>133248</v>
      </c>
      <c r="AE10" t="s">
        <v>117</v>
      </c>
      <c r="AF10">
        <v>1675.54</v>
      </c>
      <c r="AG10">
        <v>7049</v>
      </c>
      <c r="AH10">
        <v>0</v>
      </c>
      <c r="AI10">
        <v>1000000</v>
      </c>
      <c r="AJ10">
        <v>200000</v>
      </c>
      <c r="AK10">
        <v>1000000</v>
      </c>
      <c r="AL10">
        <v>10000</v>
      </c>
      <c r="AM10">
        <v>10000</v>
      </c>
      <c r="AN10">
        <v>450.37</v>
      </c>
      <c r="AO10">
        <v>450.37</v>
      </c>
      <c r="AP10">
        <v>112.59</v>
      </c>
      <c r="AQ10">
        <v>56.3</v>
      </c>
      <c r="AR10">
        <v>56.3</v>
      </c>
      <c r="AS10" t="s">
        <v>86</v>
      </c>
      <c r="AT10" t="s">
        <v>86</v>
      </c>
      <c r="AU10">
        <v>0</v>
      </c>
      <c r="AV10">
        <v>0</v>
      </c>
    </row>
    <row r="11" spans="1:52" x14ac:dyDescent="0.3">
      <c r="A11">
        <v>3925</v>
      </c>
      <c r="B11" t="s">
        <v>104</v>
      </c>
      <c r="C11" t="s">
        <v>198</v>
      </c>
      <c r="D11" t="s">
        <v>199</v>
      </c>
      <c r="E11" t="s">
        <v>105</v>
      </c>
      <c r="F11" t="s">
        <v>97</v>
      </c>
      <c r="G11" t="s">
        <v>98</v>
      </c>
      <c r="H11">
        <v>0</v>
      </c>
      <c r="I11">
        <v>0</v>
      </c>
      <c r="J11" t="s">
        <v>106</v>
      </c>
      <c r="K11" t="s">
        <v>106</v>
      </c>
      <c r="N11" s="9">
        <v>46114</v>
      </c>
      <c r="O11">
        <v>10420</v>
      </c>
      <c r="P11">
        <v>9</v>
      </c>
      <c r="Q11">
        <v>95</v>
      </c>
      <c r="R11" t="s">
        <v>86</v>
      </c>
      <c r="S11" t="s">
        <v>87</v>
      </c>
      <c r="T11" t="s">
        <v>99</v>
      </c>
      <c r="U11" t="s">
        <v>116</v>
      </c>
      <c r="V11">
        <v>2026</v>
      </c>
      <c r="W11">
        <v>2026</v>
      </c>
      <c r="X11" t="s">
        <v>107</v>
      </c>
      <c r="Y11">
        <v>0</v>
      </c>
      <c r="Z11">
        <v>0</v>
      </c>
      <c r="AA11">
        <v>0</v>
      </c>
      <c r="AB11" t="s">
        <v>101</v>
      </c>
      <c r="AC11">
        <v>85</v>
      </c>
      <c r="AD11">
        <v>133248</v>
      </c>
      <c r="AE11" t="s">
        <v>117</v>
      </c>
      <c r="AF11">
        <v>1675.54</v>
      </c>
      <c r="AG11">
        <v>7049</v>
      </c>
      <c r="AH11">
        <v>0</v>
      </c>
      <c r="AI11">
        <v>1000000</v>
      </c>
      <c r="AJ11">
        <v>200000</v>
      </c>
      <c r="AK11">
        <v>1000000</v>
      </c>
      <c r="AL11">
        <v>10000</v>
      </c>
      <c r="AM11">
        <v>10000</v>
      </c>
      <c r="AN11">
        <v>450.37</v>
      </c>
      <c r="AO11">
        <v>450.37</v>
      </c>
      <c r="AP11">
        <v>112.59</v>
      </c>
      <c r="AQ11">
        <v>56.3</v>
      </c>
      <c r="AR11">
        <v>56.3</v>
      </c>
      <c r="AS11" t="s">
        <v>86</v>
      </c>
      <c r="AT11" t="s">
        <v>86</v>
      </c>
      <c r="AU11">
        <v>0</v>
      </c>
      <c r="AV11">
        <v>0</v>
      </c>
    </row>
    <row r="12" spans="1:52" x14ac:dyDescent="0.3">
      <c r="A12">
        <v>3926</v>
      </c>
      <c r="B12" t="s">
        <v>104</v>
      </c>
      <c r="C12" t="s">
        <v>200</v>
      </c>
      <c r="D12" t="s">
        <v>201</v>
      </c>
      <c r="E12" t="s">
        <v>105</v>
      </c>
      <c r="F12" t="s">
        <v>97</v>
      </c>
      <c r="G12" t="s">
        <v>98</v>
      </c>
      <c r="H12">
        <v>0</v>
      </c>
      <c r="I12">
        <v>0</v>
      </c>
      <c r="J12" t="s">
        <v>106</v>
      </c>
      <c r="K12" t="s">
        <v>106</v>
      </c>
      <c r="N12" s="9">
        <v>46114</v>
      </c>
      <c r="O12">
        <v>10420</v>
      </c>
      <c r="P12">
        <v>9</v>
      </c>
      <c r="Q12">
        <v>96</v>
      </c>
      <c r="R12" t="s">
        <v>86</v>
      </c>
      <c r="S12" t="s">
        <v>87</v>
      </c>
      <c r="T12" t="s">
        <v>99</v>
      </c>
      <c r="U12" t="s">
        <v>116</v>
      </c>
      <c r="V12">
        <v>2026</v>
      </c>
      <c r="W12">
        <v>2026</v>
      </c>
      <c r="X12" t="s">
        <v>107</v>
      </c>
      <c r="Y12">
        <v>0</v>
      </c>
      <c r="Z12">
        <v>0</v>
      </c>
      <c r="AA12">
        <v>0</v>
      </c>
      <c r="AB12" t="s">
        <v>101</v>
      </c>
      <c r="AC12">
        <v>85</v>
      </c>
      <c r="AD12">
        <v>133248</v>
      </c>
      <c r="AE12" t="s">
        <v>117</v>
      </c>
      <c r="AF12">
        <v>1675.54</v>
      </c>
      <c r="AG12">
        <v>7049</v>
      </c>
      <c r="AH12">
        <v>0</v>
      </c>
      <c r="AI12">
        <v>1000000</v>
      </c>
      <c r="AJ12">
        <v>200000</v>
      </c>
      <c r="AK12">
        <v>1000000</v>
      </c>
      <c r="AL12">
        <v>10000</v>
      </c>
      <c r="AM12">
        <v>10000</v>
      </c>
      <c r="AN12">
        <v>450.37</v>
      </c>
      <c r="AO12">
        <v>450.37</v>
      </c>
      <c r="AP12">
        <v>112.59</v>
      </c>
      <c r="AQ12">
        <v>56.3</v>
      </c>
      <c r="AR12">
        <v>56.3</v>
      </c>
      <c r="AS12" t="s">
        <v>86</v>
      </c>
      <c r="AT12" t="s">
        <v>86</v>
      </c>
      <c r="AU12">
        <v>0</v>
      </c>
      <c r="AV12">
        <v>0</v>
      </c>
    </row>
    <row r="13" spans="1:52" x14ac:dyDescent="0.3">
      <c r="A13">
        <v>3927</v>
      </c>
      <c r="B13" t="s">
        <v>104</v>
      </c>
      <c r="C13" t="s">
        <v>202</v>
      </c>
      <c r="D13" t="s">
        <v>203</v>
      </c>
      <c r="E13" t="s">
        <v>105</v>
      </c>
      <c r="F13" t="s">
        <v>151</v>
      </c>
      <c r="G13" t="s">
        <v>152</v>
      </c>
      <c r="H13">
        <v>0</v>
      </c>
      <c r="I13">
        <v>0</v>
      </c>
      <c r="J13" t="s">
        <v>106</v>
      </c>
      <c r="K13" t="s">
        <v>106</v>
      </c>
      <c r="N13" s="9">
        <v>46118</v>
      </c>
      <c r="O13">
        <v>10598</v>
      </c>
      <c r="P13">
        <v>1</v>
      </c>
      <c r="Q13">
        <v>8</v>
      </c>
      <c r="R13" t="s">
        <v>86</v>
      </c>
      <c r="S13" t="s">
        <v>87</v>
      </c>
      <c r="T13" t="s">
        <v>153</v>
      </c>
      <c r="U13" t="s">
        <v>154</v>
      </c>
      <c r="V13">
        <v>2026</v>
      </c>
      <c r="W13">
        <v>2026</v>
      </c>
      <c r="X13" t="s">
        <v>155</v>
      </c>
      <c r="Y13">
        <v>0</v>
      </c>
      <c r="Z13">
        <v>0</v>
      </c>
      <c r="AA13">
        <v>0</v>
      </c>
      <c r="AB13" t="s">
        <v>156</v>
      </c>
      <c r="AC13">
        <v>85</v>
      </c>
      <c r="AD13">
        <v>97920</v>
      </c>
      <c r="AE13" t="s">
        <v>108</v>
      </c>
      <c r="AF13">
        <v>1964.1</v>
      </c>
      <c r="AG13">
        <v>5432.6</v>
      </c>
      <c r="AH13">
        <v>0</v>
      </c>
      <c r="AI13">
        <v>150000</v>
      </c>
      <c r="AJ13">
        <v>0</v>
      </c>
      <c r="AK13">
        <v>150000</v>
      </c>
      <c r="AL13">
        <v>10000</v>
      </c>
      <c r="AM13">
        <v>10000</v>
      </c>
      <c r="AN13">
        <v>561.16999999999996</v>
      </c>
      <c r="AO13">
        <v>0</v>
      </c>
      <c r="AP13">
        <v>140.29</v>
      </c>
      <c r="AQ13">
        <v>70.150000000000006</v>
      </c>
      <c r="AR13">
        <v>70.150000000000006</v>
      </c>
      <c r="AS13" t="s">
        <v>86</v>
      </c>
      <c r="AT13" t="s">
        <v>86</v>
      </c>
      <c r="AU13">
        <v>0</v>
      </c>
      <c r="AV13">
        <v>0</v>
      </c>
    </row>
    <row r="14" spans="1:52" x14ac:dyDescent="0.3">
      <c r="A14">
        <v>3928</v>
      </c>
      <c r="B14" t="s">
        <v>104</v>
      </c>
      <c r="C14" t="s">
        <v>206</v>
      </c>
      <c r="D14" t="s">
        <v>207</v>
      </c>
      <c r="E14" t="s">
        <v>105</v>
      </c>
      <c r="F14" t="s">
        <v>204</v>
      </c>
      <c r="G14" t="s">
        <v>205</v>
      </c>
      <c r="H14">
        <v>0</v>
      </c>
      <c r="I14">
        <v>0</v>
      </c>
      <c r="J14" t="s">
        <v>106</v>
      </c>
      <c r="K14" t="s">
        <v>106</v>
      </c>
      <c r="N14" s="9">
        <v>46118</v>
      </c>
      <c r="O14">
        <v>10119</v>
      </c>
      <c r="P14">
        <v>3</v>
      </c>
      <c r="Q14">
        <v>1</v>
      </c>
      <c r="R14" t="s">
        <v>86</v>
      </c>
      <c r="S14" t="s">
        <v>87</v>
      </c>
      <c r="T14" t="s">
        <v>89</v>
      </c>
      <c r="U14" t="s">
        <v>132</v>
      </c>
      <c r="V14">
        <v>2026</v>
      </c>
      <c r="W14">
        <v>2026</v>
      </c>
      <c r="X14" t="s">
        <v>107</v>
      </c>
      <c r="Y14">
        <v>0</v>
      </c>
      <c r="Z14">
        <v>0</v>
      </c>
      <c r="AA14">
        <v>0</v>
      </c>
      <c r="AB14" t="s">
        <v>88</v>
      </c>
      <c r="AC14">
        <v>85</v>
      </c>
      <c r="AD14">
        <v>84669</v>
      </c>
      <c r="AE14" t="s">
        <v>108</v>
      </c>
      <c r="AF14">
        <v>1825.9</v>
      </c>
      <c r="AG14">
        <v>5050.3500000000004</v>
      </c>
      <c r="AH14">
        <v>0</v>
      </c>
      <c r="AI14">
        <v>150000</v>
      </c>
      <c r="AJ14">
        <v>0</v>
      </c>
      <c r="AK14">
        <v>150000</v>
      </c>
      <c r="AL14">
        <v>10000</v>
      </c>
      <c r="AM14">
        <v>10000</v>
      </c>
      <c r="AN14">
        <v>521.69000000000005</v>
      </c>
      <c r="AO14">
        <v>0</v>
      </c>
      <c r="AP14">
        <v>130.41999999999999</v>
      </c>
      <c r="AQ14">
        <v>65.209999999999994</v>
      </c>
      <c r="AR14">
        <v>65.209999999999994</v>
      </c>
      <c r="AS14" t="s">
        <v>86</v>
      </c>
      <c r="AT14" t="s">
        <v>86</v>
      </c>
      <c r="AU14">
        <v>0</v>
      </c>
      <c r="AV14">
        <v>0</v>
      </c>
    </row>
    <row r="15" spans="1:52" x14ac:dyDescent="0.3">
      <c r="A15">
        <v>3938</v>
      </c>
      <c r="B15" t="s">
        <v>104</v>
      </c>
      <c r="C15" t="s">
        <v>208</v>
      </c>
      <c r="D15" t="s">
        <v>209</v>
      </c>
      <c r="E15" t="s">
        <v>105</v>
      </c>
      <c r="F15" t="s">
        <v>151</v>
      </c>
      <c r="G15" t="s">
        <v>152</v>
      </c>
      <c r="H15">
        <v>0</v>
      </c>
      <c r="I15">
        <v>0</v>
      </c>
      <c r="J15" t="s">
        <v>106</v>
      </c>
      <c r="K15" t="s">
        <v>106</v>
      </c>
      <c r="N15" s="9">
        <v>46119</v>
      </c>
      <c r="O15">
        <v>10598</v>
      </c>
      <c r="P15">
        <v>1</v>
      </c>
      <c r="Q15">
        <v>9</v>
      </c>
      <c r="R15" t="s">
        <v>86</v>
      </c>
      <c r="S15" t="s">
        <v>87</v>
      </c>
      <c r="T15" t="s">
        <v>153</v>
      </c>
      <c r="U15" t="s">
        <v>154</v>
      </c>
      <c r="V15">
        <v>2026</v>
      </c>
      <c r="W15">
        <v>2026</v>
      </c>
      <c r="X15" t="s">
        <v>155</v>
      </c>
      <c r="Y15">
        <v>0</v>
      </c>
      <c r="Z15">
        <v>0</v>
      </c>
      <c r="AA15">
        <v>0</v>
      </c>
      <c r="AB15" t="s">
        <v>156</v>
      </c>
      <c r="AC15">
        <v>85</v>
      </c>
      <c r="AD15">
        <v>97920</v>
      </c>
      <c r="AE15" t="s">
        <v>108</v>
      </c>
      <c r="AF15">
        <v>1964.1</v>
      </c>
      <c r="AG15">
        <v>5432.6</v>
      </c>
      <c r="AH15">
        <v>0</v>
      </c>
      <c r="AI15">
        <v>150000</v>
      </c>
      <c r="AJ15">
        <v>0</v>
      </c>
      <c r="AK15">
        <v>150000</v>
      </c>
      <c r="AL15">
        <v>10000</v>
      </c>
      <c r="AM15">
        <v>10000</v>
      </c>
      <c r="AN15">
        <v>561.16999999999996</v>
      </c>
      <c r="AO15">
        <v>0</v>
      </c>
      <c r="AP15">
        <v>140.29</v>
      </c>
      <c r="AQ15">
        <v>70.150000000000006</v>
      </c>
      <c r="AR15">
        <v>70.150000000000006</v>
      </c>
      <c r="AS15" t="s">
        <v>86</v>
      </c>
      <c r="AT15" t="s">
        <v>86</v>
      </c>
      <c r="AU15">
        <v>0</v>
      </c>
      <c r="AV15">
        <v>0</v>
      </c>
    </row>
    <row r="16" spans="1:52" x14ac:dyDescent="0.3">
      <c r="A16">
        <v>3939</v>
      </c>
      <c r="B16" t="s">
        <v>104</v>
      </c>
      <c r="C16" t="s">
        <v>210</v>
      </c>
      <c r="D16" t="s">
        <v>211</v>
      </c>
      <c r="E16" t="s">
        <v>105</v>
      </c>
      <c r="F16" t="s">
        <v>147</v>
      </c>
      <c r="G16" t="s">
        <v>148</v>
      </c>
      <c r="H16">
        <v>0</v>
      </c>
      <c r="I16">
        <v>0</v>
      </c>
      <c r="J16" t="s">
        <v>106</v>
      </c>
      <c r="K16" t="s">
        <v>106</v>
      </c>
      <c r="N16" s="9">
        <v>46119</v>
      </c>
      <c r="O16">
        <v>10619</v>
      </c>
      <c r="P16">
        <v>1</v>
      </c>
      <c r="Q16">
        <v>2</v>
      </c>
      <c r="R16" t="s">
        <v>86</v>
      </c>
      <c r="S16" t="s">
        <v>87</v>
      </c>
      <c r="T16" t="s">
        <v>91</v>
      </c>
      <c r="U16" t="s">
        <v>111</v>
      </c>
      <c r="V16">
        <v>2024</v>
      </c>
      <c r="W16">
        <v>2024</v>
      </c>
      <c r="X16" t="s">
        <v>112</v>
      </c>
      <c r="Y16">
        <v>0</v>
      </c>
      <c r="Z16">
        <v>0</v>
      </c>
      <c r="AA16">
        <v>0</v>
      </c>
      <c r="AB16" t="s">
        <v>93</v>
      </c>
      <c r="AC16">
        <v>85</v>
      </c>
      <c r="AD16">
        <v>450414</v>
      </c>
      <c r="AE16" t="s">
        <v>113</v>
      </c>
      <c r="AF16">
        <v>3890.28</v>
      </c>
      <c r="AG16">
        <v>24455.05</v>
      </c>
      <c r="AH16">
        <v>0</v>
      </c>
      <c r="AI16">
        <v>300000</v>
      </c>
      <c r="AJ16">
        <v>0</v>
      </c>
      <c r="AK16">
        <v>300000</v>
      </c>
      <c r="AL16">
        <v>10000</v>
      </c>
      <c r="AM16">
        <v>10000</v>
      </c>
      <c r="AN16">
        <v>1111.51</v>
      </c>
      <c r="AO16">
        <v>0</v>
      </c>
      <c r="AP16">
        <v>277.88</v>
      </c>
      <c r="AQ16">
        <v>138.94</v>
      </c>
      <c r="AR16">
        <v>138.94</v>
      </c>
      <c r="AS16" t="s">
        <v>86</v>
      </c>
      <c r="AT16" t="s">
        <v>86</v>
      </c>
      <c r="AU16">
        <v>0</v>
      </c>
      <c r="AV16">
        <v>0</v>
      </c>
    </row>
    <row r="17" spans="1:48" x14ac:dyDescent="0.3">
      <c r="A17">
        <v>3940</v>
      </c>
      <c r="B17" t="s">
        <v>104</v>
      </c>
      <c r="C17" t="s">
        <v>212</v>
      </c>
      <c r="D17" t="s">
        <v>213</v>
      </c>
      <c r="E17" t="s">
        <v>105</v>
      </c>
      <c r="F17" t="s">
        <v>204</v>
      </c>
      <c r="G17" t="s">
        <v>205</v>
      </c>
      <c r="H17">
        <v>0</v>
      </c>
      <c r="I17">
        <v>0</v>
      </c>
      <c r="J17" t="s">
        <v>106</v>
      </c>
      <c r="K17" t="s">
        <v>106</v>
      </c>
      <c r="N17" s="9">
        <v>46119</v>
      </c>
      <c r="O17">
        <v>10119</v>
      </c>
      <c r="P17">
        <v>3</v>
      </c>
      <c r="Q17">
        <v>2</v>
      </c>
      <c r="R17" t="s">
        <v>86</v>
      </c>
      <c r="S17" t="s">
        <v>87</v>
      </c>
      <c r="T17" t="s">
        <v>89</v>
      </c>
      <c r="U17" t="s">
        <v>132</v>
      </c>
      <c r="V17">
        <v>2026</v>
      </c>
      <c r="W17">
        <v>2026</v>
      </c>
      <c r="X17" t="s">
        <v>107</v>
      </c>
      <c r="Y17">
        <v>0</v>
      </c>
      <c r="Z17">
        <v>0</v>
      </c>
      <c r="AA17">
        <v>0</v>
      </c>
      <c r="AB17" t="s">
        <v>88</v>
      </c>
      <c r="AC17">
        <v>85</v>
      </c>
      <c r="AD17">
        <v>84669</v>
      </c>
      <c r="AE17" t="s">
        <v>108</v>
      </c>
      <c r="AF17">
        <v>1825.9</v>
      </c>
      <c r="AG17">
        <v>5050.3500000000004</v>
      </c>
      <c r="AH17">
        <v>0</v>
      </c>
      <c r="AI17">
        <v>150000</v>
      </c>
      <c r="AJ17">
        <v>0</v>
      </c>
      <c r="AK17">
        <v>150000</v>
      </c>
      <c r="AL17">
        <v>10000</v>
      </c>
      <c r="AM17">
        <v>10000</v>
      </c>
      <c r="AN17">
        <v>521.69000000000005</v>
      </c>
      <c r="AO17">
        <v>0</v>
      </c>
      <c r="AP17">
        <v>130.41999999999999</v>
      </c>
      <c r="AQ17">
        <v>65.209999999999994</v>
      </c>
      <c r="AR17">
        <v>65.209999999999994</v>
      </c>
      <c r="AS17" t="s">
        <v>86</v>
      </c>
      <c r="AT17" t="s">
        <v>86</v>
      </c>
      <c r="AU17">
        <v>0</v>
      </c>
      <c r="AV17">
        <v>0</v>
      </c>
    </row>
    <row r="18" spans="1:48" x14ac:dyDescent="0.3">
      <c r="A18">
        <v>3941</v>
      </c>
      <c r="B18" t="s">
        <v>104</v>
      </c>
      <c r="C18" t="s">
        <v>214</v>
      </c>
      <c r="D18" t="s">
        <v>215</v>
      </c>
      <c r="E18" t="s">
        <v>105</v>
      </c>
      <c r="F18" t="s">
        <v>204</v>
      </c>
      <c r="G18" t="s">
        <v>205</v>
      </c>
      <c r="H18">
        <v>0</v>
      </c>
      <c r="I18">
        <v>0</v>
      </c>
      <c r="J18" t="s">
        <v>106</v>
      </c>
      <c r="K18" t="s">
        <v>106</v>
      </c>
      <c r="N18" s="9">
        <v>46119</v>
      </c>
      <c r="O18">
        <v>10119</v>
      </c>
      <c r="P18">
        <v>3</v>
      </c>
      <c r="Q18">
        <v>3</v>
      </c>
      <c r="R18" t="s">
        <v>86</v>
      </c>
      <c r="S18" t="s">
        <v>87</v>
      </c>
      <c r="T18" t="s">
        <v>89</v>
      </c>
      <c r="U18" t="s">
        <v>132</v>
      </c>
      <c r="V18">
        <v>2026</v>
      </c>
      <c r="W18">
        <v>2026</v>
      </c>
      <c r="X18" t="s">
        <v>107</v>
      </c>
      <c r="Y18">
        <v>0</v>
      </c>
      <c r="Z18">
        <v>0</v>
      </c>
      <c r="AA18">
        <v>0</v>
      </c>
      <c r="AB18" t="s">
        <v>88</v>
      </c>
      <c r="AC18">
        <v>85</v>
      </c>
      <c r="AD18">
        <v>84669</v>
      </c>
      <c r="AE18" t="s">
        <v>108</v>
      </c>
      <c r="AF18">
        <v>1825.9</v>
      </c>
      <c r="AG18">
        <v>5050.3500000000004</v>
      </c>
      <c r="AH18">
        <v>0</v>
      </c>
      <c r="AI18">
        <v>150000</v>
      </c>
      <c r="AJ18">
        <v>0</v>
      </c>
      <c r="AK18">
        <v>150000</v>
      </c>
      <c r="AL18">
        <v>10000</v>
      </c>
      <c r="AM18">
        <v>10000</v>
      </c>
      <c r="AN18">
        <v>521.69000000000005</v>
      </c>
      <c r="AO18">
        <v>0</v>
      </c>
      <c r="AP18">
        <v>130.41999999999999</v>
      </c>
      <c r="AQ18">
        <v>65.209999999999994</v>
      </c>
      <c r="AR18">
        <v>65.209999999999994</v>
      </c>
      <c r="AS18" t="s">
        <v>86</v>
      </c>
      <c r="AT18" t="s">
        <v>86</v>
      </c>
      <c r="AU18">
        <v>0</v>
      </c>
      <c r="AV18">
        <v>0</v>
      </c>
    </row>
    <row r="19" spans="1:48" x14ac:dyDescent="0.3">
      <c r="A19">
        <v>3942</v>
      </c>
      <c r="B19" t="s">
        <v>104</v>
      </c>
      <c r="C19" t="s">
        <v>216</v>
      </c>
      <c r="D19" t="s">
        <v>217</v>
      </c>
      <c r="E19" t="s">
        <v>105</v>
      </c>
      <c r="F19" t="s">
        <v>204</v>
      </c>
      <c r="G19" t="s">
        <v>205</v>
      </c>
      <c r="H19">
        <v>0</v>
      </c>
      <c r="I19">
        <v>0</v>
      </c>
      <c r="J19" t="s">
        <v>106</v>
      </c>
      <c r="K19" t="s">
        <v>106</v>
      </c>
      <c r="N19" s="9">
        <v>46119</v>
      </c>
      <c r="O19">
        <v>10119</v>
      </c>
      <c r="P19">
        <v>3</v>
      </c>
      <c r="Q19">
        <v>4</v>
      </c>
      <c r="R19" t="s">
        <v>86</v>
      </c>
      <c r="S19" t="s">
        <v>87</v>
      </c>
      <c r="T19" t="s">
        <v>89</v>
      </c>
      <c r="U19" t="s">
        <v>132</v>
      </c>
      <c r="V19">
        <v>2026</v>
      </c>
      <c r="W19">
        <v>2026</v>
      </c>
      <c r="X19" t="s">
        <v>107</v>
      </c>
      <c r="Y19">
        <v>0</v>
      </c>
      <c r="Z19">
        <v>0</v>
      </c>
      <c r="AA19">
        <v>0</v>
      </c>
      <c r="AB19" t="s">
        <v>88</v>
      </c>
      <c r="AC19">
        <v>85</v>
      </c>
      <c r="AD19">
        <v>84669</v>
      </c>
      <c r="AE19" t="s">
        <v>108</v>
      </c>
      <c r="AF19">
        <v>1825.9</v>
      </c>
      <c r="AG19">
        <v>5050.3500000000004</v>
      </c>
      <c r="AH19">
        <v>0</v>
      </c>
      <c r="AI19">
        <v>150000</v>
      </c>
      <c r="AJ19">
        <v>0</v>
      </c>
      <c r="AK19">
        <v>150000</v>
      </c>
      <c r="AL19">
        <v>10000</v>
      </c>
      <c r="AM19">
        <v>10000</v>
      </c>
      <c r="AN19">
        <v>521.69000000000005</v>
      </c>
      <c r="AO19">
        <v>0</v>
      </c>
      <c r="AP19">
        <v>130.41999999999999</v>
      </c>
      <c r="AQ19">
        <v>65.209999999999994</v>
      </c>
      <c r="AR19">
        <v>65.209999999999994</v>
      </c>
      <c r="AS19" t="s">
        <v>86</v>
      </c>
      <c r="AT19" t="s">
        <v>86</v>
      </c>
      <c r="AU19">
        <v>0</v>
      </c>
      <c r="AV19">
        <v>0</v>
      </c>
    </row>
    <row r="20" spans="1:48" x14ac:dyDescent="0.3">
      <c r="A20">
        <v>3943</v>
      </c>
      <c r="B20" t="s">
        <v>104</v>
      </c>
      <c r="C20" t="s">
        <v>218</v>
      </c>
      <c r="D20" t="s">
        <v>219</v>
      </c>
      <c r="E20" t="s">
        <v>105</v>
      </c>
      <c r="F20" t="s">
        <v>204</v>
      </c>
      <c r="G20" t="s">
        <v>205</v>
      </c>
      <c r="H20">
        <v>0</v>
      </c>
      <c r="I20">
        <v>0</v>
      </c>
      <c r="J20" t="s">
        <v>106</v>
      </c>
      <c r="K20" t="s">
        <v>106</v>
      </c>
      <c r="N20" s="9">
        <v>46119</v>
      </c>
      <c r="O20">
        <v>10119</v>
      </c>
      <c r="P20">
        <v>3</v>
      </c>
      <c r="Q20">
        <v>5</v>
      </c>
      <c r="R20" t="s">
        <v>86</v>
      </c>
      <c r="S20" t="s">
        <v>87</v>
      </c>
      <c r="T20" t="s">
        <v>89</v>
      </c>
      <c r="U20" t="s">
        <v>132</v>
      </c>
      <c r="V20">
        <v>2026</v>
      </c>
      <c r="W20">
        <v>2026</v>
      </c>
      <c r="X20" t="s">
        <v>107</v>
      </c>
      <c r="Y20">
        <v>0</v>
      </c>
      <c r="Z20">
        <v>0</v>
      </c>
      <c r="AA20">
        <v>0</v>
      </c>
      <c r="AB20" t="s">
        <v>88</v>
      </c>
      <c r="AC20">
        <v>85</v>
      </c>
      <c r="AD20">
        <v>84669</v>
      </c>
      <c r="AE20" t="s">
        <v>108</v>
      </c>
      <c r="AF20">
        <v>1825.9</v>
      </c>
      <c r="AG20">
        <v>5050.3500000000004</v>
      </c>
      <c r="AH20">
        <v>0</v>
      </c>
      <c r="AI20">
        <v>150000</v>
      </c>
      <c r="AJ20">
        <v>0</v>
      </c>
      <c r="AK20">
        <v>150000</v>
      </c>
      <c r="AL20">
        <v>10000</v>
      </c>
      <c r="AM20">
        <v>10000</v>
      </c>
      <c r="AN20">
        <v>521.69000000000005</v>
      </c>
      <c r="AO20">
        <v>0</v>
      </c>
      <c r="AP20">
        <v>130.41999999999999</v>
      </c>
      <c r="AQ20">
        <v>65.209999999999994</v>
      </c>
      <c r="AR20">
        <v>65.209999999999994</v>
      </c>
      <c r="AS20" t="s">
        <v>86</v>
      </c>
      <c r="AT20" t="s">
        <v>86</v>
      </c>
      <c r="AU20">
        <v>0</v>
      </c>
      <c r="AV20">
        <v>0</v>
      </c>
    </row>
    <row r="21" spans="1:48" x14ac:dyDescent="0.3">
      <c r="A21">
        <v>3944</v>
      </c>
      <c r="B21" t="s">
        <v>104</v>
      </c>
      <c r="C21" t="s">
        <v>222</v>
      </c>
      <c r="D21" t="s">
        <v>223</v>
      </c>
      <c r="E21" t="s">
        <v>110</v>
      </c>
      <c r="F21" t="s">
        <v>220</v>
      </c>
      <c r="G21" t="s">
        <v>221</v>
      </c>
      <c r="H21">
        <v>0</v>
      </c>
      <c r="I21">
        <v>0</v>
      </c>
      <c r="J21" t="s">
        <v>106</v>
      </c>
      <c r="K21" t="s">
        <v>106</v>
      </c>
      <c r="N21" s="9">
        <v>46119</v>
      </c>
      <c r="O21">
        <v>10632</v>
      </c>
      <c r="P21">
        <v>2</v>
      </c>
      <c r="Q21">
        <v>1</v>
      </c>
      <c r="R21" t="s">
        <v>86</v>
      </c>
      <c r="S21" t="s">
        <v>87</v>
      </c>
      <c r="T21" t="s">
        <v>91</v>
      </c>
      <c r="U21" t="s">
        <v>114</v>
      </c>
      <c r="V21">
        <v>2024</v>
      </c>
      <c r="W21">
        <v>2024</v>
      </c>
      <c r="X21" t="s">
        <v>112</v>
      </c>
      <c r="Y21">
        <v>0</v>
      </c>
      <c r="Z21">
        <v>0</v>
      </c>
      <c r="AA21">
        <v>0</v>
      </c>
      <c r="AB21" t="s">
        <v>93</v>
      </c>
      <c r="AC21">
        <v>85</v>
      </c>
      <c r="AD21">
        <v>450414</v>
      </c>
      <c r="AE21" t="s">
        <v>113</v>
      </c>
      <c r="AF21">
        <v>3942.3</v>
      </c>
      <c r="AG21">
        <v>24782.1</v>
      </c>
      <c r="AH21">
        <v>0</v>
      </c>
      <c r="AI21">
        <v>300000</v>
      </c>
      <c r="AJ21">
        <v>0</v>
      </c>
      <c r="AK21">
        <v>300000</v>
      </c>
      <c r="AL21">
        <v>10000</v>
      </c>
      <c r="AM21">
        <v>10000</v>
      </c>
      <c r="AN21">
        <v>1126.3699999999999</v>
      </c>
      <c r="AO21">
        <v>0</v>
      </c>
      <c r="AP21">
        <v>281.58999999999997</v>
      </c>
      <c r="AQ21">
        <v>140.80000000000001</v>
      </c>
      <c r="AR21">
        <v>140.80000000000001</v>
      </c>
      <c r="AS21" t="s">
        <v>86</v>
      </c>
      <c r="AT21" t="s">
        <v>86</v>
      </c>
      <c r="AU21">
        <v>0</v>
      </c>
      <c r="AV21">
        <v>0</v>
      </c>
    </row>
    <row r="22" spans="1:48" x14ac:dyDescent="0.3">
      <c r="A22">
        <v>3945</v>
      </c>
      <c r="B22" t="s">
        <v>104</v>
      </c>
      <c r="C22" t="s">
        <v>224</v>
      </c>
      <c r="D22" t="s">
        <v>225</v>
      </c>
      <c r="E22" t="s">
        <v>110</v>
      </c>
      <c r="F22" t="s">
        <v>220</v>
      </c>
      <c r="G22" t="s">
        <v>221</v>
      </c>
      <c r="H22">
        <v>0</v>
      </c>
      <c r="I22">
        <v>0</v>
      </c>
      <c r="J22" t="s">
        <v>106</v>
      </c>
      <c r="K22" t="s">
        <v>106</v>
      </c>
      <c r="N22" s="9">
        <v>46119</v>
      </c>
      <c r="O22">
        <v>10632</v>
      </c>
      <c r="P22">
        <v>2</v>
      </c>
      <c r="Q22">
        <v>2</v>
      </c>
      <c r="R22" t="s">
        <v>86</v>
      </c>
      <c r="S22" t="s">
        <v>87</v>
      </c>
      <c r="T22" t="s">
        <v>91</v>
      </c>
      <c r="U22" t="s">
        <v>114</v>
      </c>
      <c r="V22">
        <v>2024</v>
      </c>
      <c r="W22">
        <v>2024</v>
      </c>
      <c r="X22" t="s">
        <v>112</v>
      </c>
      <c r="Y22">
        <v>0</v>
      </c>
      <c r="Z22">
        <v>0</v>
      </c>
      <c r="AA22">
        <v>0</v>
      </c>
      <c r="AB22" t="s">
        <v>93</v>
      </c>
      <c r="AC22">
        <v>85</v>
      </c>
      <c r="AD22">
        <v>450414</v>
      </c>
      <c r="AE22" t="s">
        <v>113</v>
      </c>
      <c r="AF22">
        <v>3942.3</v>
      </c>
      <c r="AG22">
        <v>24782.1</v>
      </c>
      <c r="AH22">
        <v>0</v>
      </c>
      <c r="AI22">
        <v>300000</v>
      </c>
      <c r="AJ22">
        <v>0</v>
      </c>
      <c r="AK22">
        <v>300000</v>
      </c>
      <c r="AL22">
        <v>10000</v>
      </c>
      <c r="AM22">
        <v>10000</v>
      </c>
      <c r="AN22">
        <v>1126.3699999999999</v>
      </c>
      <c r="AO22">
        <v>0</v>
      </c>
      <c r="AP22">
        <v>281.58999999999997</v>
      </c>
      <c r="AQ22">
        <v>140.80000000000001</v>
      </c>
      <c r="AR22">
        <v>140.80000000000001</v>
      </c>
      <c r="AS22" t="s">
        <v>86</v>
      </c>
      <c r="AT22" t="s">
        <v>86</v>
      </c>
      <c r="AU22">
        <v>0</v>
      </c>
      <c r="AV22">
        <v>0</v>
      </c>
    </row>
    <row r="23" spans="1:48" x14ac:dyDescent="0.3">
      <c r="A23">
        <v>3946</v>
      </c>
      <c r="B23" t="s">
        <v>104</v>
      </c>
      <c r="C23" t="s">
        <v>228</v>
      </c>
      <c r="D23" t="s">
        <v>229</v>
      </c>
      <c r="E23" t="s">
        <v>105</v>
      </c>
      <c r="F23" t="s">
        <v>226</v>
      </c>
      <c r="G23" t="s">
        <v>227</v>
      </c>
      <c r="H23">
        <v>0</v>
      </c>
      <c r="I23">
        <v>0</v>
      </c>
      <c r="J23" t="s">
        <v>106</v>
      </c>
      <c r="K23" t="s">
        <v>106</v>
      </c>
      <c r="N23" s="9">
        <v>46120</v>
      </c>
      <c r="O23">
        <v>10615</v>
      </c>
      <c r="P23">
        <v>1</v>
      </c>
      <c r="Q23">
        <v>1</v>
      </c>
      <c r="R23" t="s">
        <v>86</v>
      </c>
      <c r="S23" t="s">
        <v>87</v>
      </c>
      <c r="T23" t="s">
        <v>230</v>
      </c>
      <c r="U23" t="s">
        <v>832</v>
      </c>
      <c r="V23">
        <v>2026</v>
      </c>
      <c r="W23">
        <v>2026</v>
      </c>
      <c r="X23" t="s">
        <v>115</v>
      </c>
      <c r="Y23">
        <v>0</v>
      </c>
      <c r="Z23">
        <v>0</v>
      </c>
      <c r="AA23">
        <v>0</v>
      </c>
      <c r="AB23" t="s">
        <v>232</v>
      </c>
      <c r="AC23">
        <v>85</v>
      </c>
      <c r="AD23">
        <v>0</v>
      </c>
      <c r="AE23" t="s">
        <v>108</v>
      </c>
      <c r="AF23">
        <v>3927.25</v>
      </c>
      <c r="AG23">
        <v>15615.9</v>
      </c>
      <c r="AH23">
        <v>0</v>
      </c>
      <c r="AI23">
        <v>150000</v>
      </c>
      <c r="AJ23">
        <v>0</v>
      </c>
      <c r="AK23">
        <v>150000</v>
      </c>
      <c r="AL23">
        <v>10000</v>
      </c>
      <c r="AM23">
        <v>10000</v>
      </c>
      <c r="AN23">
        <v>1122.07</v>
      </c>
      <c r="AO23">
        <v>0</v>
      </c>
      <c r="AP23">
        <v>280.52</v>
      </c>
      <c r="AQ23">
        <v>140.26</v>
      </c>
      <c r="AR23">
        <v>140.26</v>
      </c>
      <c r="AS23" t="s">
        <v>86</v>
      </c>
      <c r="AT23" t="s">
        <v>86</v>
      </c>
      <c r="AU23">
        <v>0</v>
      </c>
      <c r="AV23">
        <v>0</v>
      </c>
    </row>
    <row r="24" spans="1:48" x14ac:dyDescent="0.3">
      <c r="A24">
        <v>3954</v>
      </c>
      <c r="B24" t="s">
        <v>104</v>
      </c>
      <c r="C24" t="s">
        <v>235</v>
      </c>
      <c r="D24" t="s">
        <v>236</v>
      </c>
      <c r="E24" t="s">
        <v>105</v>
      </c>
      <c r="F24" t="s">
        <v>151</v>
      </c>
      <c r="G24" t="s">
        <v>152</v>
      </c>
      <c r="H24">
        <v>0</v>
      </c>
      <c r="I24">
        <v>0</v>
      </c>
      <c r="J24" t="s">
        <v>106</v>
      </c>
      <c r="K24" t="s">
        <v>106</v>
      </c>
      <c r="N24" s="9">
        <v>46121</v>
      </c>
      <c r="O24">
        <v>10598</v>
      </c>
      <c r="P24">
        <v>1</v>
      </c>
      <c r="Q24">
        <v>10</v>
      </c>
      <c r="R24" t="s">
        <v>86</v>
      </c>
      <c r="S24" t="s">
        <v>87</v>
      </c>
      <c r="T24" t="s">
        <v>153</v>
      </c>
      <c r="U24" t="s">
        <v>154</v>
      </c>
      <c r="V24">
        <v>2026</v>
      </c>
      <c r="W24">
        <v>2026</v>
      </c>
      <c r="X24" t="s">
        <v>155</v>
      </c>
      <c r="Y24">
        <v>0</v>
      </c>
      <c r="Z24">
        <v>0</v>
      </c>
      <c r="AA24">
        <v>0</v>
      </c>
      <c r="AB24" t="s">
        <v>156</v>
      </c>
      <c r="AC24">
        <v>85</v>
      </c>
      <c r="AD24">
        <v>97920</v>
      </c>
      <c r="AE24" t="s">
        <v>108</v>
      </c>
      <c r="AF24">
        <v>1964.1</v>
      </c>
      <c r="AG24">
        <v>5432.6</v>
      </c>
      <c r="AH24">
        <v>0</v>
      </c>
      <c r="AI24">
        <v>150000</v>
      </c>
      <c r="AJ24">
        <v>0</v>
      </c>
      <c r="AK24">
        <v>150000</v>
      </c>
      <c r="AL24">
        <v>10000</v>
      </c>
      <c r="AM24">
        <v>10000</v>
      </c>
      <c r="AN24">
        <v>561.16999999999996</v>
      </c>
      <c r="AO24">
        <v>0</v>
      </c>
      <c r="AP24">
        <v>140.29</v>
      </c>
      <c r="AQ24">
        <v>70.150000000000006</v>
      </c>
      <c r="AR24">
        <v>70.150000000000006</v>
      </c>
      <c r="AS24" t="s">
        <v>86</v>
      </c>
      <c r="AT24" t="s">
        <v>86</v>
      </c>
      <c r="AU24">
        <v>0</v>
      </c>
      <c r="AV24">
        <v>0</v>
      </c>
    </row>
    <row r="25" spans="1:48" x14ac:dyDescent="0.3">
      <c r="A25">
        <v>3955</v>
      </c>
      <c r="B25" t="s">
        <v>104</v>
      </c>
      <c r="C25" t="s">
        <v>239</v>
      </c>
      <c r="D25" t="s">
        <v>240</v>
      </c>
      <c r="E25" t="s">
        <v>105</v>
      </c>
      <c r="F25" t="s">
        <v>237</v>
      </c>
      <c r="G25" t="s">
        <v>238</v>
      </c>
      <c r="H25">
        <v>0</v>
      </c>
      <c r="I25">
        <v>0</v>
      </c>
      <c r="J25" t="s">
        <v>106</v>
      </c>
      <c r="K25" t="s">
        <v>106</v>
      </c>
      <c r="N25" s="9">
        <v>46121</v>
      </c>
      <c r="O25">
        <v>10608</v>
      </c>
      <c r="P25">
        <v>1</v>
      </c>
      <c r="Q25">
        <v>1</v>
      </c>
      <c r="R25" t="s">
        <v>86</v>
      </c>
      <c r="S25" t="s">
        <v>87</v>
      </c>
      <c r="T25" t="s">
        <v>141</v>
      </c>
      <c r="U25" t="s">
        <v>124</v>
      </c>
      <c r="V25">
        <v>2024</v>
      </c>
      <c r="W25">
        <v>2024</v>
      </c>
      <c r="X25" t="s">
        <v>112</v>
      </c>
      <c r="Y25">
        <v>0</v>
      </c>
      <c r="Z25">
        <v>0</v>
      </c>
      <c r="AA25">
        <v>0</v>
      </c>
      <c r="AB25" t="s">
        <v>125</v>
      </c>
      <c r="AC25">
        <v>85</v>
      </c>
      <c r="AD25">
        <v>379499</v>
      </c>
      <c r="AE25" t="s">
        <v>113</v>
      </c>
      <c r="AF25">
        <v>3485.97</v>
      </c>
      <c r="AG25">
        <v>21913.45</v>
      </c>
      <c r="AH25">
        <v>0</v>
      </c>
      <c r="AI25">
        <v>300000</v>
      </c>
      <c r="AJ25">
        <v>0</v>
      </c>
      <c r="AK25">
        <v>300000</v>
      </c>
      <c r="AL25">
        <v>10000</v>
      </c>
      <c r="AM25">
        <v>10000</v>
      </c>
      <c r="AN25">
        <v>995.99</v>
      </c>
      <c r="AO25">
        <v>0</v>
      </c>
      <c r="AP25">
        <v>249</v>
      </c>
      <c r="AQ25">
        <v>124.5</v>
      </c>
      <c r="AR25">
        <v>124.5</v>
      </c>
      <c r="AS25" t="s">
        <v>86</v>
      </c>
      <c r="AT25" t="s">
        <v>86</v>
      </c>
      <c r="AU25">
        <v>0</v>
      </c>
      <c r="AV25">
        <v>0</v>
      </c>
    </row>
    <row r="26" spans="1:48" x14ac:dyDescent="0.3">
      <c r="A26">
        <v>3956</v>
      </c>
      <c r="B26" t="s">
        <v>104</v>
      </c>
      <c r="C26" t="s">
        <v>241</v>
      </c>
      <c r="D26" t="s">
        <v>242</v>
      </c>
      <c r="E26" t="s">
        <v>105</v>
      </c>
      <c r="F26" t="s">
        <v>129</v>
      </c>
      <c r="G26" t="s">
        <v>130</v>
      </c>
      <c r="H26">
        <v>0</v>
      </c>
      <c r="I26">
        <v>0</v>
      </c>
      <c r="J26" t="s">
        <v>106</v>
      </c>
      <c r="K26" t="s">
        <v>106</v>
      </c>
      <c r="N26" s="9">
        <v>46121</v>
      </c>
      <c r="O26">
        <v>10308</v>
      </c>
      <c r="P26">
        <v>6</v>
      </c>
      <c r="Q26">
        <v>12</v>
      </c>
      <c r="R26" t="s">
        <v>86</v>
      </c>
      <c r="S26" t="s">
        <v>87</v>
      </c>
      <c r="T26" t="s">
        <v>89</v>
      </c>
      <c r="U26" t="s">
        <v>109</v>
      </c>
      <c r="V26">
        <v>2026</v>
      </c>
      <c r="W26">
        <v>2026</v>
      </c>
      <c r="X26" t="s">
        <v>107</v>
      </c>
      <c r="Y26">
        <v>0</v>
      </c>
      <c r="Z26">
        <v>0</v>
      </c>
      <c r="AA26">
        <v>0</v>
      </c>
      <c r="AB26" t="s">
        <v>88</v>
      </c>
      <c r="AC26">
        <v>85</v>
      </c>
      <c r="AD26">
        <v>84669</v>
      </c>
      <c r="AE26" t="s">
        <v>108</v>
      </c>
      <c r="AF26">
        <v>1930.59</v>
      </c>
      <c r="AG26">
        <v>5339.9</v>
      </c>
      <c r="AH26">
        <v>0</v>
      </c>
      <c r="AI26">
        <v>150000</v>
      </c>
      <c r="AJ26">
        <v>0</v>
      </c>
      <c r="AK26">
        <v>150000</v>
      </c>
      <c r="AL26">
        <v>10000</v>
      </c>
      <c r="AM26">
        <v>10000</v>
      </c>
      <c r="AN26">
        <v>551.6</v>
      </c>
      <c r="AO26">
        <v>0</v>
      </c>
      <c r="AP26">
        <v>137.9</v>
      </c>
      <c r="AQ26">
        <v>68.95</v>
      </c>
      <c r="AR26">
        <v>68.95</v>
      </c>
      <c r="AS26" t="s">
        <v>86</v>
      </c>
      <c r="AT26" t="s">
        <v>86</v>
      </c>
      <c r="AU26">
        <v>0</v>
      </c>
      <c r="AV26">
        <v>0</v>
      </c>
    </row>
    <row r="27" spans="1:48" x14ac:dyDescent="0.3">
      <c r="A27">
        <v>3957</v>
      </c>
      <c r="B27" t="s">
        <v>104</v>
      </c>
      <c r="C27" t="s">
        <v>243</v>
      </c>
      <c r="D27" t="s">
        <v>244</v>
      </c>
      <c r="E27" t="s">
        <v>105</v>
      </c>
      <c r="F27" t="s">
        <v>145</v>
      </c>
      <c r="G27" t="s">
        <v>146</v>
      </c>
      <c r="H27">
        <v>0</v>
      </c>
      <c r="I27">
        <v>0</v>
      </c>
      <c r="J27" t="s">
        <v>106</v>
      </c>
      <c r="K27" t="s">
        <v>106</v>
      </c>
      <c r="N27" s="9">
        <v>46121</v>
      </c>
      <c r="O27">
        <v>10186</v>
      </c>
      <c r="P27">
        <v>12</v>
      </c>
      <c r="Q27">
        <v>2</v>
      </c>
      <c r="R27" t="s">
        <v>86</v>
      </c>
      <c r="S27" t="s">
        <v>87</v>
      </c>
      <c r="T27" t="s">
        <v>89</v>
      </c>
      <c r="U27" t="s">
        <v>132</v>
      </c>
      <c r="V27">
        <v>2026</v>
      </c>
      <c r="W27">
        <v>2026</v>
      </c>
      <c r="X27" t="s">
        <v>107</v>
      </c>
      <c r="Y27">
        <v>0</v>
      </c>
      <c r="Z27">
        <v>0</v>
      </c>
      <c r="AA27">
        <v>0</v>
      </c>
      <c r="AB27" t="s">
        <v>88</v>
      </c>
      <c r="AC27">
        <v>85</v>
      </c>
      <c r="AD27">
        <v>84669</v>
      </c>
      <c r="AE27" t="s">
        <v>108</v>
      </c>
      <c r="AF27">
        <v>1882.01</v>
      </c>
      <c r="AG27">
        <v>5205.55</v>
      </c>
      <c r="AH27">
        <v>0</v>
      </c>
      <c r="AI27">
        <v>150000</v>
      </c>
      <c r="AJ27">
        <v>0</v>
      </c>
      <c r="AK27">
        <v>150000</v>
      </c>
      <c r="AL27">
        <v>10000</v>
      </c>
      <c r="AM27">
        <v>10000</v>
      </c>
      <c r="AN27">
        <v>537.72</v>
      </c>
      <c r="AO27">
        <v>0</v>
      </c>
      <c r="AP27">
        <v>134.43</v>
      </c>
      <c r="AQ27">
        <v>67.209999999999994</v>
      </c>
      <c r="AR27">
        <v>67.209999999999994</v>
      </c>
      <c r="AS27" t="s">
        <v>86</v>
      </c>
      <c r="AT27" t="s">
        <v>86</v>
      </c>
      <c r="AU27">
        <v>0</v>
      </c>
      <c r="AV27">
        <v>0</v>
      </c>
    </row>
    <row r="28" spans="1:48" x14ac:dyDescent="0.3">
      <c r="A28">
        <v>3958</v>
      </c>
      <c r="B28" t="s">
        <v>104</v>
      </c>
      <c r="C28" t="s">
        <v>245</v>
      </c>
      <c r="D28" t="s">
        <v>246</v>
      </c>
      <c r="E28" t="s">
        <v>105</v>
      </c>
      <c r="F28" t="s">
        <v>204</v>
      </c>
      <c r="G28" t="s">
        <v>205</v>
      </c>
      <c r="H28">
        <v>0</v>
      </c>
      <c r="I28">
        <v>0</v>
      </c>
      <c r="J28" t="s">
        <v>106</v>
      </c>
      <c r="K28" t="s">
        <v>106</v>
      </c>
      <c r="N28" s="9">
        <v>46121</v>
      </c>
      <c r="O28">
        <v>10119</v>
      </c>
      <c r="P28">
        <v>3</v>
      </c>
      <c r="Q28">
        <v>6</v>
      </c>
      <c r="R28" t="s">
        <v>86</v>
      </c>
      <c r="S28" t="s">
        <v>87</v>
      </c>
      <c r="T28" t="s">
        <v>89</v>
      </c>
      <c r="U28" t="s">
        <v>132</v>
      </c>
      <c r="V28">
        <v>2026</v>
      </c>
      <c r="W28">
        <v>2026</v>
      </c>
      <c r="X28" t="s">
        <v>107</v>
      </c>
      <c r="Y28">
        <v>0</v>
      </c>
      <c r="Z28">
        <v>0</v>
      </c>
      <c r="AA28">
        <v>0</v>
      </c>
      <c r="AB28" t="s">
        <v>88</v>
      </c>
      <c r="AC28">
        <v>85</v>
      </c>
      <c r="AD28">
        <v>84669</v>
      </c>
      <c r="AE28" t="s">
        <v>108</v>
      </c>
      <c r="AF28">
        <v>1825.9</v>
      </c>
      <c r="AG28">
        <v>5050.3500000000004</v>
      </c>
      <c r="AH28">
        <v>0</v>
      </c>
      <c r="AI28">
        <v>150000</v>
      </c>
      <c r="AJ28">
        <v>0</v>
      </c>
      <c r="AK28">
        <v>150000</v>
      </c>
      <c r="AL28">
        <v>10000</v>
      </c>
      <c r="AM28">
        <v>10000</v>
      </c>
      <c r="AN28">
        <v>521.69000000000005</v>
      </c>
      <c r="AO28">
        <v>0</v>
      </c>
      <c r="AP28">
        <v>130.41999999999999</v>
      </c>
      <c r="AQ28">
        <v>65.209999999999994</v>
      </c>
      <c r="AR28">
        <v>65.209999999999994</v>
      </c>
      <c r="AS28" t="s">
        <v>86</v>
      </c>
      <c r="AT28" t="s">
        <v>86</v>
      </c>
      <c r="AU28">
        <v>0</v>
      </c>
      <c r="AV28">
        <v>0</v>
      </c>
    </row>
    <row r="29" spans="1:48" x14ac:dyDescent="0.3">
      <c r="A29">
        <v>3959</v>
      </c>
      <c r="B29" t="s">
        <v>104</v>
      </c>
      <c r="C29" t="s">
        <v>247</v>
      </c>
      <c r="D29" t="s">
        <v>248</v>
      </c>
      <c r="E29" t="s">
        <v>105</v>
      </c>
      <c r="F29" t="s">
        <v>204</v>
      </c>
      <c r="G29" t="s">
        <v>205</v>
      </c>
      <c r="H29">
        <v>0</v>
      </c>
      <c r="I29">
        <v>0</v>
      </c>
      <c r="J29" t="s">
        <v>106</v>
      </c>
      <c r="K29" t="s">
        <v>106</v>
      </c>
      <c r="N29" s="9">
        <v>46121</v>
      </c>
      <c r="O29">
        <v>10119</v>
      </c>
      <c r="P29">
        <v>3</v>
      </c>
      <c r="Q29">
        <v>7</v>
      </c>
      <c r="R29" t="s">
        <v>86</v>
      </c>
      <c r="S29" t="s">
        <v>87</v>
      </c>
      <c r="T29" t="s">
        <v>89</v>
      </c>
      <c r="U29" t="s">
        <v>132</v>
      </c>
      <c r="V29">
        <v>2026</v>
      </c>
      <c r="W29">
        <v>2026</v>
      </c>
      <c r="X29" t="s">
        <v>107</v>
      </c>
      <c r="Y29">
        <v>0</v>
      </c>
      <c r="Z29">
        <v>0</v>
      </c>
      <c r="AA29">
        <v>0</v>
      </c>
      <c r="AB29" t="s">
        <v>88</v>
      </c>
      <c r="AC29">
        <v>85</v>
      </c>
      <c r="AD29">
        <v>84669</v>
      </c>
      <c r="AE29" t="s">
        <v>108</v>
      </c>
      <c r="AF29">
        <v>1825.9</v>
      </c>
      <c r="AG29">
        <v>5050.3500000000004</v>
      </c>
      <c r="AH29">
        <v>0</v>
      </c>
      <c r="AI29">
        <v>150000</v>
      </c>
      <c r="AJ29">
        <v>0</v>
      </c>
      <c r="AK29">
        <v>150000</v>
      </c>
      <c r="AL29">
        <v>10000</v>
      </c>
      <c r="AM29">
        <v>10000</v>
      </c>
      <c r="AN29">
        <v>521.69000000000005</v>
      </c>
      <c r="AO29">
        <v>0</v>
      </c>
      <c r="AP29">
        <v>130.41999999999999</v>
      </c>
      <c r="AQ29">
        <v>65.209999999999994</v>
      </c>
      <c r="AR29">
        <v>65.209999999999994</v>
      </c>
      <c r="AS29" t="s">
        <v>86</v>
      </c>
      <c r="AT29" t="s">
        <v>86</v>
      </c>
      <c r="AU29">
        <v>0</v>
      </c>
      <c r="AV29">
        <v>0</v>
      </c>
    </row>
    <row r="30" spans="1:48" x14ac:dyDescent="0.3">
      <c r="A30">
        <v>3962</v>
      </c>
      <c r="B30" t="s">
        <v>104</v>
      </c>
      <c r="C30" t="s">
        <v>249</v>
      </c>
      <c r="D30" t="s">
        <v>250</v>
      </c>
      <c r="E30" t="s">
        <v>105</v>
      </c>
      <c r="F30" t="s">
        <v>97</v>
      </c>
      <c r="G30" t="s">
        <v>98</v>
      </c>
      <c r="H30">
        <v>0</v>
      </c>
      <c r="I30">
        <v>0</v>
      </c>
      <c r="J30" t="s">
        <v>106</v>
      </c>
      <c r="K30" t="s">
        <v>106</v>
      </c>
      <c r="N30" s="9">
        <v>46122</v>
      </c>
      <c r="O30">
        <v>10420</v>
      </c>
      <c r="P30">
        <v>11</v>
      </c>
      <c r="Q30">
        <v>3</v>
      </c>
      <c r="R30" t="s">
        <v>86</v>
      </c>
      <c r="S30" t="s">
        <v>87</v>
      </c>
      <c r="T30" t="s">
        <v>99</v>
      </c>
      <c r="U30" t="s">
        <v>116</v>
      </c>
      <c r="V30">
        <v>2026</v>
      </c>
      <c r="W30">
        <v>2026</v>
      </c>
      <c r="X30" t="s">
        <v>107</v>
      </c>
      <c r="Y30">
        <v>0</v>
      </c>
      <c r="Z30">
        <v>0</v>
      </c>
      <c r="AA30">
        <v>0</v>
      </c>
      <c r="AB30" t="s">
        <v>101</v>
      </c>
      <c r="AC30">
        <v>85</v>
      </c>
      <c r="AD30">
        <v>133248</v>
      </c>
      <c r="AE30" t="s">
        <v>117</v>
      </c>
      <c r="AF30">
        <v>1675.54</v>
      </c>
      <c r="AG30">
        <v>7049</v>
      </c>
      <c r="AH30">
        <v>0</v>
      </c>
      <c r="AI30">
        <v>1000000</v>
      </c>
      <c r="AJ30">
        <v>200000</v>
      </c>
      <c r="AK30">
        <v>1000000</v>
      </c>
      <c r="AL30">
        <v>10000</v>
      </c>
      <c r="AM30">
        <v>10000</v>
      </c>
      <c r="AN30">
        <v>450.37</v>
      </c>
      <c r="AO30">
        <v>450.37</v>
      </c>
      <c r="AP30">
        <v>112.59</v>
      </c>
      <c r="AQ30">
        <v>56.3</v>
      </c>
      <c r="AR30">
        <v>56.3</v>
      </c>
      <c r="AS30" t="s">
        <v>86</v>
      </c>
      <c r="AT30" t="s">
        <v>86</v>
      </c>
      <c r="AU30">
        <v>0</v>
      </c>
      <c r="AV30">
        <v>0</v>
      </c>
    </row>
    <row r="31" spans="1:48" x14ac:dyDescent="0.3">
      <c r="A31">
        <v>3963</v>
      </c>
      <c r="B31" t="s">
        <v>104</v>
      </c>
      <c r="C31" t="s">
        <v>251</v>
      </c>
      <c r="D31" t="s">
        <v>252</v>
      </c>
      <c r="E31" t="s">
        <v>105</v>
      </c>
      <c r="F31" t="s">
        <v>97</v>
      </c>
      <c r="G31" t="s">
        <v>98</v>
      </c>
      <c r="H31">
        <v>0</v>
      </c>
      <c r="I31">
        <v>0</v>
      </c>
      <c r="J31" t="s">
        <v>106</v>
      </c>
      <c r="K31" t="s">
        <v>106</v>
      </c>
      <c r="N31" s="9">
        <v>46122</v>
      </c>
      <c r="O31">
        <v>10420</v>
      </c>
      <c r="P31">
        <v>11</v>
      </c>
      <c r="Q31">
        <v>4</v>
      </c>
      <c r="R31" t="s">
        <v>86</v>
      </c>
      <c r="S31" t="s">
        <v>87</v>
      </c>
      <c r="T31" t="s">
        <v>99</v>
      </c>
      <c r="U31" t="s">
        <v>116</v>
      </c>
      <c r="V31">
        <v>2026</v>
      </c>
      <c r="W31">
        <v>2026</v>
      </c>
      <c r="X31" t="s">
        <v>107</v>
      </c>
      <c r="Y31">
        <v>0</v>
      </c>
      <c r="Z31">
        <v>0</v>
      </c>
      <c r="AA31">
        <v>0</v>
      </c>
      <c r="AB31" t="s">
        <v>101</v>
      </c>
      <c r="AC31">
        <v>85</v>
      </c>
      <c r="AD31">
        <v>133248</v>
      </c>
      <c r="AE31" t="s">
        <v>117</v>
      </c>
      <c r="AF31">
        <v>1675.54</v>
      </c>
      <c r="AG31">
        <v>7049</v>
      </c>
      <c r="AH31">
        <v>0</v>
      </c>
      <c r="AI31">
        <v>1000000</v>
      </c>
      <c r="AJ31">
        <v>200000</v>
      </c>
      <c r="AK31">
        <v>1000000</v>
      </c>
      <c r="AL31">
        <v>10000</v>
      </c>
      <c r="AM31">
        <v>10000</v>
      </c>
      <c r="AN31">
        <v>450.37</v>
      </c>
      <c r="AO31">
        <v>450.37</v>
      </c>
      <c r="AP31">
        <v>112.59</v>
      </c>
      <c r="AQ31">
        <v>56.3</v>
      </c>
      <c r="AR31">
        <v>56.3</v>
      </c>
      <c r="AS31" t="s">
        <v>86</v>
      </c>
      <c r="AT31" t="s">
        <v>86</v>
      </c>
      <c r="AU31">
        <v>0</v>
      </c>
      <c r="AV31">
        <v>0</v>
      </c>
    </row>
    <row r="32" spans="1:48" x14ac:dyDescent="0.3">
      <c r="A32">
        <v>3964</v>
      </c>
      <c r="B32" t="s">
        <v>104</v>
      </c>
      <c r="C32" t="s">
        <v>253</v>
      </c>
      <c r="D32" t="s">
        <v>254</v>
      </c>
      <c r="E32" t="s">
        <v>105</v>
      </c>
      <c r="F32" t="s">
        <v>97</v>
      </c>
      <c r="G32" t="s">
        <v>98</v>
      </c>
      <c r="H32">
        <v>0</v>
      </c>
      <c r="I32">
        <v>0</v>
      </c>
      <c r="J32" t="s">
        <v>106</v>
      </c>
      <c r="K32" t="s">
        <v>106</v>
      </c>
      <c r="N32" s="9">
        <v>46122</v>
      </c>
      <c r="O32">
        <v>10420</v>
      </c>
      <c r="P32">
        <v>9</v>
      </c>
      <c r="Q32">
        <v>97</v>
      </c>
      <c r="R32" t="s">
        <v>86</v>
      </c>
      <c r="S32" t="s">
        <v>87</v>
      </c>
      <c r="T32" t="s">
        <v>99</v>
      </c>
      <c r="U32" t="s">
        <v>116</v>
      </c>
      <c r="V32">
        <v>2026</v>
      </c>
      <c r="W32">
        <v>2026</v>
      </c>
      <c r="X32" t="s">
        <v>107</v>
      </c>
      <c r="Y32">
        <v>0</v>
      </c>
      <c r="Z32">
        <v>0</v>
      </c>
      <c r="AA32">
        <v>0</v>
      </c>
      <c r="AB32" t="s">
        <v>101</v>
      </c>
      <c r="AC32">
        <v>85</v>
      </c>
      <c r="AD32">
        <v>133248</v>
      </c>
      <c r="AE32" t="s">
        <v>117</v>
      </c>
      <c r="AF32">
        <v>1675.54</v>
      </c>
      <c r="AG32">
        <v>7049</v>
      </c>
      <c r="AH32">
        <v>0</v>
      </c>
      <c r="AI32">
        <v>1000000</v>
      </c>
      <c r="AJ32">
        <v>200000</v>
      </c>
      <c r="AK32">
        <v>1000000</v>
      </c>
      <c r="AL32">
        <v>10000</v>
      </c>
      <c r="AM32">
        <v>10000</v>
      </c>
      <c r="AN32">
        <v>450.37</v>
      </c>
      <c r="AO32">
        <v>450.37</v>
      </c>
      <c r="AP32">
        <v>112.59</v>
      </c>
      <c r="AQ32">
        <v>56.3</v>
      </c>
      <c r="AR32">
        <v>56.3</v>
      </c>
      <c r="AS32" t="s">
        <v>86</v>
      </c>
      <c r="AT32" t="s">
        <v>86</v>
      </c>
      <c r="AU32">
        <v>0</v>
      </c>
      <c r="AV32">
        <v>0</v>
      </c>
    </row>
    <row r="33" spans="1:48" x14ac:dyDescent="0.3">
      <c r="A33">
        <v>3965</v>
      </c>
      <c r="B33" t="s">
        <v>104</v>
      </c>
      <c r="C33" t="s">
        <v>255</v>
      </c>
      <c r="D33" t="s">
        <v>256</v>
      </c>
      <c r="E33" t="s">
        <v>105</v>
      </c>
      <c r="F33" t="s">
        <v>97</v>
      </c>
      <c r="G33" t="s">
        <v>98</v>
      </c>
      <c r="H33">
        <v>0</v>
      </c>
      <c r="I33">
        <v>0</v>
      </c>
      <c r="J33" t="s">
        <v>106</v>
      </c>
      <c r="K33" t="s">
        <v>106</v>
      </c>
      <c r="N33" s="9">
        <v>46122</v>
      </c>
      <c r="O33">
        <v>10420</v>
      </c>
      <c r="P33">
        <v>9</v>
      </c>
      <c r="Q33">
        <v>98</v>
      </c>
      <c r="R33" t="s">
        <v>86</v>
      </c>
      <c r="S33" t="s">
        <v>87</v>
      </c>
      <c r="T33" t="s">
        <v>99</v>
      </c>
      <c r="U33" t="s">
        <v>116</v>
      </c>
      <c r="V33">
        <v>2026</v>
      </c>
      <c r="W33">
        <v>2026</v>
      </c>
      <c r="X33" t="s">
        <v>107</v>
      </c>
      <c r="Y33">
        <v>0</v>
      </c>
      <c r="Z33">
        <v>0</v>
      </c>
      <c r="AA33">
        <v>0</v>
      </c>
      <c r="AB33" t="s">
        <v>101</v>
      </c>
      <c r="AC33">
        <v>85</v>
      </c>
      <c r="AD33">
        <v>133248</v>
      </c>
      <c r="AE33" t="s">
        <v>117</v>
      </c>
      <c r="AF33">
        <v>1675.54</v>
      </c>
      <c r="AG33">
        <v>7049</v>
      </c>
      <c r="AH33">
        <v>0</v>
      </c>
      <c r="AI33">
        <v>1000000</v>
      </c>
      <c r="AJ33">
        <v>200000</v>
      </c>
      <c r="AK33">
        <v>1000000</v>
      </c>
      <c r="AL33">
        <v>10000</v>
      </c>
      <c r="AM33">
        <v>10000</v>
      </c>
      <c r="AN33">
        <v>450.37</v>
      </c>
      <c r="AO33">
        <v>450.37</v>
      </c>
      <c r="AP33">
        <v>112.59</v>
      </c>
      <c r="AQ33">
        <v>56.3</v>
      </c>
      <c r="AR33">
        <v>56.3</v>
      </c>
      <c r="AS33" t="s">
        <v>86</v>
      </c>
      <c r="AT33" t="s">
        <v>86</v>
      </c>
      <c r="AU33">
        <v>0</v>
      </c>
      <c r="AV33">
        <v>0</v>
      </c>
    </row>
    <row r="34" spans="1:48" x14ac:dyDescent="0.3">
      <c r="A34">
        <v>3966</v>
      </c>
      <c r="B34" t="s">
        <v>104</v>
      </c>
      <c r="C34" t="s">
        <v>257</v>
      </c>
      <c r="D34" t="s">
        <v>258</v>
      </c>
      <c r="E34" t="s">
        <v>105</v>
      </c>
      <c r="F34" t="s">
        <v>97</v>
      </c>
      <c r="G34" t="s">
        <v>98</v>
      </c>
      <c r="H34">
        <v>0</v>
      </c>
      <c r="I34">
        <v>0</v>
      </c>
      <c r="J34" t="s">
        <v>106</v>
      </c>
      <c r="K34" t="s">
        <v>106</v>
      </c>
      <c r="N34" s="9">
        <v>46122</v>
      </c>
      <c r="O34">
        <v>10420</v>
      </c>
      <c r="P34">
        <v>9</v>
      </c>
      <c r="Q34">
        <v>99</v>
      </c>
      <c r="R34" t="s">
        <v>86</v>
      </c>
      <c r="S34" t="s">
        <v>87</v>
      </c>
      <c r="T34" t="s">
        <v>99</v>
      </c>
      <c r="U34" t="s">
        <v>116</v>
      </c>
      <c r="V34">
        <v>2026</v>
      </c>
      <c r="W34">
        <v>2026</v>
      </c>
      <c r="X34" t="s">
        <v>107</v>
      </c>
      <c r="Y34">
        <v>0</v>
      </c>
      <c r="Z34">
        <v>0</v>
      </c>
      <c r="AA34">
        <v>0</v>
      </c>
      <c r="AB34" t="s">
        <v>101</v>
      </c>
      <c r="AC34">
        <v>85</v>
      </c>
      <c r="AD34">
        <v>133248</v>
      </c>
      <c r="AE34" t="s">
        <v>117</v>
      </c>
      <c r="AF34">
        <v>1675.54</v>
      </c>
      <c r="AG34">
        <v>7049</v>
      </c>
      <c r="AH34">
        <v>0</v>
      </c>
      <c r="AI34">
        <v>1000000</v>
      </c>
      <c r="AJ34">
        <v>200000</v>
      </c>
      <c r="AK34">
        <v>1000000</v>
      </c>
      <c r="AL34">
        <v>10000</v>
      </c>
      <c r="AM34">
        <v>10000</v>
      </c>
      <c r="AN34">
        <v>450.37</v>
      </c>
      <c r="AO34">
        <v>450.37</v>
      </c>
      <c r="AP34">
        <v>112.59</v>
      </c>
      <c r="AQ34">
        <v>56.3</v>
      </c>
      <c r="AR34">
        <v>56.3</v>
      </c>
      <c r="AS34" t="s">
        <v>86</v>
      </c>
      <c r="AT34" t="s">
        <v>86</v>
      </c>
      <c r="AU34">
        <v>0</v>
      </c>
      <c r="AV34">
        <v>0</v>
      </c>
    </row>
    <row r="35" spans="1:48" x14ac:dyDescent="0.3">
      <c r="A35">
        <v>3967</v>
      </c>
      <c r="B35" t="s">
        <v>104</v>
      </c>
      <c r="C35" t="s">
        <v>259</v>
      </c>
      <c r="D35" t="s">
        <v>260</v>
      </c>
      <c r="E35" t="s">
        <v>105</v>
      </c>
      <c r="F35" t="s">
        <v>97</v>
      </c>
      <c r="G35" t="s">
        <v>98</v>
      </c>
      <c r="H35">
        <v>0</v>
      </c>
      <c r="I35">
        <v>0</v>
      </c>
      <c r="J35" t="s">
        <v>106</v>
      </c>
      <c r="K35" t="s">
        <v>106</v>
      </c>
      <c r="N35" s="9">
        <v>46122</v>
      </c>
      <c r="O35">
        <v>10420</v>
      </c>
      <c r="P35">
        <v>9</v>
      </c>
      <c r="Q35">
        <v>100</v>
      </c>
      <c r="R35" t="s">
        <v>86</v>
      </c>
      <c r="S35" t="s">
        <v>87</v>
      </c>
      <c r="T35" t="s">
        <v>99</v>
      </c>
      <c r="U35" t="s">
        <v>116</v>
      </c>
      <c r="V35">
        <v>2026</v>
      </c>
      <c r="W35">
        <v>2026</v>
      </c>
      <c r="X35" t="s">
        <v>107</v>
      </c>
      <c r="Y35">
        <v>0</v>
      </c>
      <c r="Z35">
        <v>0</v>
      </c>
      <c r="AA35">
        <v>0</v>
      </c>
      <c r="AB35" t="s">
        <v>101</v>
      </c>
      <c r="AC35">
        <v>85</v>
      </c>
      <c r="AD35">
        <v>133248</v>
      </c>
      <c r="AE35" t="s">
        <v>117</v>
      </c>
      <c r="AF35">
        <v>1675.54</v>
      </c>
      <c r="AG35">
        <v>7049</v>
      </c>
      <c r="AH35">
        <v>0</v>
      </c>
      <c r="AI35">
        <v>1000000</v>
      </c>
      <c r="AJ35">
        <v>200000</v>
      </c>
      <c r="AK35">
        <v>1000000</v>
      </c>
      <c r="AL35">
        <v>10000</v>
      </c>
      <c r="AM35">
        <v>10000</v>
      </c>
      <c r="AN35">
        <v>450.37</v>
      </c>
      <c r="AO35">
        <v>450.37</v>
      </c>
      <c r="AP35">
        <v>112.59</v>
      </c>
      <c r="AQ35">
        <v>56.3</v>
      </c>
      <c r="AR35">
        <v>56.3</v>
      </c>
      <c r="AS35" t="s">
        <v>86</v>
      </c>
      <c r="AT35" t="s">
        <v>86</v>
      </c>
      <c r="AU35">
        <v>0</v>
      </c>
      <c r="AV35">
        <v>0</v>
      </c>
    </row>
    <row r="36" spans="1:48" x14ac:dyDescent="0.3">
      <c r="A36">
        <v>3968</v>
      </c>
      <c r="B36" t="s">
        <v>104</v>
      </c>
      <c r="C36" t="s">
        <v>261</v>
      </c>
      <c r="D36" t="s">
        <v>262</v>
      </c>
      <c r="E36" t="s">
        <v>105</v>
      </c>
      <c r="F36" t="s">
        <v>97</v>
      </c>
      <c r="G36" t="s">
        <v>98</v>
      </c>
      <c r="H36">
        <v>0</v>
      </c>
      <c r="I36">
        <v>0</v>
      </c>
      <c r="J36" t="s">
        <v>106</v>
      </c>
      <c r="K36" t="s">
        <v>106</v>
      </c>
      <c r="N36" s="9">
        <v>46122</v>
      </c>
      <c r="O36">
        <v>10420</v>
      </c>
      <c r="P36">
        <v>9</v>
      </c>
      <c r="Q36">
        <v>101</v>
      </c>
      <c r="R36" t="s">
        <v>86</v>
      </c>
      <c r="S36" t="s">
        <v>87</v>
      </c>
      <c r="T36" t="s">
        <v>99</v>
      </c>
      <c r="U36" t="s">
        <v>116</v>
      </c>
      <c r="V36">
        <v>2026</v>
      </c>
      <c r="W36">
        <v>2026</v>
      </c>
      <c r="X36" t="s">
        <v>107</v>
      </c>
      <c r="Y36">
        <v>0</v>
      </c>
      <c r="Z36">
        <v>0</v>
      </c>
      <c r="AA36">
        <v>0</v>
      </c>
      <c r="AB36" t="s">
        <v>101</v>
      </c>
      <c r="AC36">
        <v>85</v>
      </c>
      <c r="AD36">
        <v>133248</v>
      </c>
      <c r="AE36" t="s">
        <v>117</v>
      </c>
      <c r="AF36">
        <v>1675.54</v>
      </c>
      <c r="AG36">
        <v>7049</v>
      </c>
      <c r="AH36">
        <v>0</v>
      </c>
      <c r="AI36">
        <v>1000000</v>
      </c>
      <c r="AJ36">
        <v>200000</v>
      </c>
      <c r="AK36">
        <v>1000000</v>
      </c>
      <c r="AL36">
        <v>10000</v>
      </c>
      <c r="AM36">
        <v>10000</v>
      </c>
      <c r="AN36">
        <v>450.37</v>
      </c>
      <c r="AO36">
        <v>450.37</v>
      </c>
      <c r="AP36">
        <v>112.59</v>
      </c>
      <c r="AQ36">
        <v>56.3</v>
      </c>
      <c r="AR36">
        <v>56.3</v>
      </c>
      <c r="AS36" t="s">
        <v>86</v>
      </c>
      <c r="AT36" t="s">
        <v>86</v>
      </c>
      <c r="AU36">
        <v>0</v>
      </c>
      <c r="AV36">
        <v>0</v>
      </c>
    </row>
    <row r="37" spans="1:48" x14ac:dyDescent="0.3">
      <c r="A37">
        <v>3969</v>
      </c>
      <c r="B37" t="s">
        <v>104</v>
      </c>
      <c r="C37" t="s">
        <v>263</v>
      </c>
      <c r="D37" t="s">
        <v>264</v>
      </c>
      <c r="E37" t="s">
        <v>105</v>
      </c>
      <c r="F37" t="s">
        <v>97</v>
      </c>
      <c r="G37" t="s">
        <v>98</v>
      </c>
      <c r="H37">
        <v>0</v>
      </c>
      <c r="I37">
        <v>0</v>
      </c>
      <c r="J37" t="s">
        <v>106</v>
      </c>
      <c r="K37" t="s">
        <v>106</v>
      </c>
      <c r="N37" s="9">
        <v>46122</v>
      </c>
      <c r="O37">
        <v>10420</v>
      </c>
      <c r="P37">
        <v>9</v>
      </c>
      <c r="Q37">
        <v>102</v>
      </c>
      <c r="R37" t="s">
        <v>86</v>
      </c>
      <c r="S37" t="s">
        <v>87</v>
      </c>
      <c r="T37" t="s">
        <v>99</v>
      </c>
      <c r="U37" t="s">
        <v>116</v>
      </c>
      <c r="V37">
        <v>2026</v>
      </c>
      <c r="W37">
        <v>2026</v>
      </c>
      <c r="X37" t="s">
        <v>107</v>
      </c>
      <c r="Y37">
        <v>0</v>
      </c>
      <c r="Z37">
        <v>0</v>
      </c>
      <c r="AA37">
        <v>0</v>
      </c>
      <c r="AB37" t="s">
        <v>101</v>
      </c>
      <c r="AC37">
        <v>85</v>
      </c>
      <c r="AD37">
        <v>133248</v>
      </c>
      <c r="AE37" t="s">
        <v>117</v>
      </c>
      <c r="AF37">
        <v>1675.54</v>
      </c>
      <c r="AG37">
        <v>7049</v>
      </c>
      <c r="AH37">
        <v>0</v>
      </c>
      <c r="AI37">
        <v>1000000</v>
      </c>
      <c r="AJ37">
        <v>200000</v>
      </c>
      <c r="AK37">
        <v>1000000</v>
      </c>
      <c r="AL37">
        <v>10000</v>
      </c>
      <c r="AM37">
        <v>10000</v>
      </c>
      <c r="AN37">
        <v>450.37</v>
      </c>
      <c r="AO37">
        <v>450.37</v>
      </c>
      <c r="AP37">
        <v>112.59</v>
      </c>
      <c r="AQ37">
        <v>56.3</v>
      </c>
      <c r="AR37">
        <v>56.3</v>
      </c>
      <c r="AS37" t="s">
        <v>86</v>
      </c>
      <c r="AT37" t="s">
        <v>86</v>
      </c>
      <c r="AU37">
        <v>0</v>
      </c>
      <c r="AV37">
        <v>0</v>
      </c>
    </row>
    <row r="38" spans="1:48" x14ac:dyDescent="0.3">
      <c r="A38">
        <v>3970</v>
      </c>
      <c r="B38" t="s">
        <v>104</v>
      </c>
      <c r="C38" t="s">
        <v>265</v>
      </c>
      <c r="D38" t="s">
        <v>266</v>
      </c>
      <c r="E38" t="s">
        <v>105</v>
      </c>
      <c r="F38" t="s">
        <v>97</v>
      </c>
      <c r="G38" t="s">
        <v>98</v>
      </c>
      <c r="H38">
        <v>0</v>
      </c>
      <c r="I38">
        <v>0</v>
      </c>
      <c r="J38" t="s">
        <v>106</v>
      </c>
      <c r="K38" t="s">
        <v>106</v>
      </c>
      <c r="N38" s="9">
        <v>46122</v>
      </c>
      <c r="O38">
        <v>10420</v>
      </c>
      <c r="P38">
        <v>9</v>
      </c>
      <c r="Q38">
        <v>103</v>
      </c>
      <c r="R38" t="s">
        <v>86</v>
      </c>
      <c r="S38" t="s">
        <v>87</v>
      </c>
      <c r="T38" t="s">
        <v>99</v>
      </c>
      <c r="U38" t="s">
        <v>116</v>
      </c>
      <c r="V38">
        <v>2026</v>
      </c>
      <c r="W38">
        <v>2026</v>
      </c>
      <c r="X38" t="s">
        <v>107</v>
      </c>
      <c r="Y38">
        <v>0</v>
      </c>
      <c r="Z38">
        <v>0</v>
      </c>
      <c r="AA38">
        <v>0</v>
      </c>
      <c r="AB38" t="s">
        <v>101</v>
      </c>
      <c r="AC38">
        <v>85</v>
      </c>
      <c r="AD38">
        <v>133248</v>
      </c>
      <c r="AE38" t="s">
        <v>117</v>
      </c>
      <c r="AF38">
        <v>1675.54</v>
      </c>
      <c r="AG38">
        <v>7049</v>
      </c>
      <c r="AH38">
        <v>0</v>
      </c>
      <c r="AI38">
        <v>1000000</v>
      </c>
      <c r="AJ38">
        <v>200000</v>
      </c>
      <c r="AK38">
        <v>1000000</v>
      </c>
      <c r="AL38">
        <v>10000</v>
      </c>
      <c r="AM38">
        <v>10000</v>
      </c>
      <c r="AN38">
        <v>450.37</v>
      </c>
      <c r="AO38">
        <v>450.37</v>
      </c>
      <c r="AP38">
        <v>112.59</v>
      </c>
      <c r="AQ38">
        <v>56.3</v>
      </c>
      <c r="AR38">
        <v>56.3</v>
      </c>
      <c r="AS38" t="s">
        <v>86</v>
      </c>
      <c r="AT38" t="s">
        <v>86</v>
      </c>
      <c r="AU38">
        <v>0</v>
      </c>
      <c r="AV38">
        <v>0</v>
      </c>
    </row>
    <row r="39" spans="1:48" x14ac:dyDescent="0.3">
      <c r="A39">
        <v>3971</v>
      </c>
      <c r="B39" t="s">
        <v>104</v>
      </c>
      <c r="C39" t="s">
        <v>267</v>
      </c>
      <c r="D39" t="s">
        <v>268</v>
      </c>
      <c r="E39" t="s">
        <v>105</v>
      </c>
      <c r="F39" t="s">
        <v>97</v>
      </c>
      <c r="G39" t="s">
        <v>98</v>
      </c>
      <c r="H39">
        <v>0</v>
      </c>
      <c r="I39">
        <v>0</v>
      </c>
      <c r="J39" t="s">
        <v>106</v>
      </c>
      <c r="K39" t="s">
        <v>106</v>
      </c>
      <c r="N39" s="9">
        <v>46122</v>
      </c>
      <c r="O39">
        <v>10420</v>
      </c>
      <c r="P39">
        <v>9</v>
      </c>
      <c r="Q39">
        <v>104</v>
      </c>
      <c r="R39" t="s">
        <v>86</v>
      </c>
      <c r="S39" t="s">
        <v>87</v>
      </c>
      <c r="T39" t="s">
        <v>99</v>
      </c>
      <c r="U39" t="s">
        <v>116</v>
      </c>
      <c r="V39">
        <v>2026</v>
      </c>
      <c r="W39">
        <v>2026</v>
      </c>
      <c r="X39" t="s">
        <v>107</v>
      </c>
      <c r="Y39">
        <v>0</v>
      </c>
      <c r="Z39">
        <v>0</v>
      </c>
      <c r="AA39">
        <v>0</v>
      </c>
      <c r="AB39" t="s">
        <v>101</v>
      </c>
      <c r="AC39">
        <v>85</v>
      </c>
      <c r="AD39">
        <v>133248</v>
      </c>
      <c r="AE39" t="s">
        <v>117</v>
      </c>
      <c r="AF39">
        <v>1675.54</v>
      </c>
      <c r="AG39">
        <v>7049</v>
      </c>
      <c r="AH39">
        <v>0</v>
      </c>
      <c r="AI39">
        <v>1000000</v>
      </c>
      <c r="AJ39">
        <v>200000</v>
      </c>
      <c r="AK39">
        <v>1000000</v>
      </c>
      <c r="AL39">
        <v>10000</v>
      </c>
      <c r="AM39">
        <v>10000</v>
      </c>
      <c r="AN39">
        <v>450.37</v>
      </c>
      <c r="AO39">
        <v>450.37</v>
      </c>
      <c r="AP39">
        <v>112.59</v>
      </c>
      <c r="AQ39">
        <v>56.3</v>
      </c>
      <c r="AR39">
        <v>56.3</v>
      </c>
      <c r="AS39" t="s">
        <v>86</v>
      </c>
      <c r="AT39" t="s">
        <v>86</v>
      </c>
      <c r="AU39">
        <v>0</v>
      </c>
      <c r="AV39">
        <v>0</v>
      </c>
    </row>
    <row r="40" spans="1:48" x14ac:dyDescent="0.3">
      <c r="A40">
        <v>3972</v>
      </c>
      <c r="B40" t="s">
        <v>104</v>
      </c>
      <c r="C40" t="s">
        <v>269</v>
      </c>
      <c r="D40" t="s">
        <v>270</v>
      </c>
      <c r="E40" t="s">
        <v>105</v>
      </c>
      <c r="F40" t="s">
        <v>97</v>
      </c>
      <c r="G40" t="s">
        <v>98</v>
      </c>
      <c r="H40">
        <v>0</v>
      </c>
      <c r="I40">
        <v>0</v>
      </c>
      <c r="J40" t="s">
        <v>106</v>
      </c>
      <c r="K40" t="s">
        <v>106</v>
      </c>
      <c r="N40" s="9">
        <v>46122</v>
      </c>
      <c r="O40">
        <v>10420</v>
      </c>
      <c r="P40">
        <v>9</v>
      </c>
      <c r="Q40">
        <v>105</v>
      </c>
      <c r="R40" t="s">
        <v>86</v>
      </c>
      <c r="S40" t="s">
        <v>87</v>
      </c>
      <c r="T40" t="s">
        <v>99</v>
      </c>
      <c r="U40" t="s">
        <v>116</v>
      </c>
      <c r="V40">
        <v>2026</v>
      </c>
      <c r="W40">
        <v>2026</v>
      </c>
      <c r="X40" t="s">
        <v>107</v>
      </c>
      <c r="Y40">
        <v>0</v>
      </c>
      <c r="Z40">
        <v>0</v>
      </c>
      <c r="AA40">
        <v>0</v>
      </c>
      <c r="AB40" t="s">
        <v>101</v>
      </c>
      <c r="AC40">
        <v>85</v>
      </c>
      <c r="AD40">
        <v>133248</v>
      </c>
      <c r="AE40" t="s">
        <v>117</v>
      </c>
      <c r="AF40">
        <v>1675.54</v>
      </c>
      <c r="AG40">
        <v>7049</v>
      </c>
      <c r="AH40">
        <v>0</v>
      </c>
      <c r="AI40">
        <v>1000000</v>
      </c>
      <c r="AJ40">
        <v>200000</v>
      </c>
      <c r="AK40">
        <v>1000000</v>
      </c>
      <c r="AL40">
        <v>10000</v>
      </c>
      <c r="AM40">
        <v>10000</v>
      </c>
      <c r="AN40">
        <v>450.37</v>
      </c>
      <c r="AO40">
        <v>450.37</v>
      </c>
      <c r="AP40">
        <v>112.59</v>
      </c>
      <c r="AQ40">
        <v>56.3</v>
      </c>
      <c r="AR40">
        <v>56.3</v>
      </c>
      <c r="AS40" t="s">
        <v>86</v>
      </c>
      <c r="AT40" t="s">
        <v>86</v>
      </c>
      <c r="AU40">
        <v>0</v>
      </c>
      <c r="AV40">
        <v>0</v>
      </c>
    </row>
    <row r="41" spans="1:48" x14ac:dyDescent="0.3">
      <c r="A41">
        <v>3973</v>
      </c>
      <c r="B41" t="s">
        <v>104</v>
      </c>
      <c r="C41" t="s">
        <v>271</v>
      </c>
      <c r="D41" t="s">
        <v>272</v>
      </c>
      <c r="E41" t="s">
        <v>105</v>
      </c>
      <c r="F41" t="s">
        <v>97</v>
      </c>
      <c r="G41" t="s">
        <v>98</v>
      </c>
      <c r="H41">
        <v>0</v>
      </c>
      <c r="I41">
        <v>0</v>
      </c>
      <c r="J41" t="s">
        <v>106</v>
      </c>
      <c r="K41" t="s">
        <v>106</v>
      </c>
      <c r="N41" s="9">
        <v>46122</v>
      </c>
      <c r="O41">
        <v>10420</v>
      </c>
      <c r="P41">
        <v>11</v>
      </c>
      <c r="Q41">
        <v>5</v>
      </c>
      <c r="R41" t="s">
        <v>86</v>
      </c>
      <c r="S41" t="s">
        <v>87</v>
      </c>
      <c r="T41" t="s">
        <v>99</v>
      </c>
      <c r="U41" t="s">
        <v>116</v>
      </c>
      <c r="V41">
        <v>2026</v>
      </c>
      <c r="W41">
        <v>2026</v>
      </c>
      <c r="X41" t="s">
        <v>107</v>
      </c>
      <c r="Y41">
        <v>0</v>
      </c>
      <c r="Z41">
        <v>0</v>
      </c>
      <c r="AA41">
        <v>0</v>
      </c>
      <c r="AB41" t="s">
        <v>101</v>
      </c>
      <c r="AC41">
        <v>85</v>
      </c>
      <c r="AD41">
        <v>133248</v>
      </c>
      <c r="AE41" t="s">
        <v>117</v>
      </c>
      <c r="AF41">
        <v>1675.54</v>
      </c>
      <c r="AG41">
        <v>7049</v>
      </c>
      <c r="AH41">
        <v>0</v>
      </c>
      <c r="AI41">
        <v>1000000</v>
      </c>
      <c r="AJ41">
        <v>200000</v>
      </c>
      <c r="AK41">
        <v>1000000</v>
      </c>
      <c r="AL41">
        <v>10000</v>
      </c>
      <c r="AM41">
        <v>10000</v>
      </c>
      <c r="AN41">
        <v>450.37</v>
      </c>
      <c r="AO41">
        <v>450.37</v>
      </c>
      <c r="AP41">
        <v>112.59</v>
      </c>
      <c r="AQ41">
        <v>56.3</v>
      </c>
      <c r="AR41">
        <v>56.3</v>
      </c>
      <c r="AS41" t="s">
        <v>86</v>
      </c>
      <c r="AT41" t="s">
        <v>86</v>
      </c>
      <c r="AU41">
        <v>0</v>
      </c>
      <c r="AV41">
        <v>0</v>
      </c>
    </row>
    <row r="42" spans="1:48" x14ac:dyDescent="0.3">
      <c r="A42">
        <v>3974</v>
      </c>
      <c r="B42" t="s">
        <v>104</v>
      </c>
      <c r="C42" t="s">
        <v>273</v>
      </c>
      <c r="D42" t="s">
        <v>274</v>
      </c>
      <c r="E42" t="s">
        <v>105</v>
      </c>
      <c r="F42" t="s">
        <v>97</v>
      </c>
      <c r="G42" t="s">
        <v>98</v>
      </c>
      <c r="H42">
        <v>0</v>
      </c>
      <c r="I42">
        <v>0</v>
      </c>
      <c r="J42" t="s">
        <v>106</v>
      </c>
      <c r="K42" t="s">
        <v>106</v>
      </c>
      <c r="N42" s="9">
        <v>46122</v>
      </c>
      <c r="O42">
        <v>10420</v>
      </c>
      <c r="P42">
        <v>9</v>
      </c>
      <c r="Q42">
        <v>106</v>
      </c>
      <c r="R42" t="s">
        <v>86</v>
      </c>
      <c r="S42" t="s">
        <v>87</v>
      </c>
      <c r="T42" t="s">
        <v>99</v>
      </c>
      <c r="U42" t="s">
        <v>116</v>
      </c>
      <c r="V42">
        <v>2026</v>
      </c>
      <c r="W42">
        <v>2026</v>
      </c>
      <c r="X42" t="s">
        <v>107</v>
      </c>
      <c r="Y42">
        <v>0</v>
      </c>
      <c r="Z42">
        <v>0</v>
      </c>
      <c r="AA42">
        <v>0</v>
      </c>
      <c r="AB42" t="s">
        <v>101</v>
      </c>
      <c r="AC42">
        <v>85</v>
      </c>
      <c r="AD42">
        <v>133248</v>
      </c>
      <c r="AE42" t="s">
        <v>117</v>
      </c>
      <c r="AF42">
        <v>1675.54</v>
      </c>
      <c r="AG42">
        <v>7049</v>
      </c>
      <c r="AH42">
        <v>0</v>
      </c>
      <c r="AI42">
        <v>1000000</v>
      </c>
      <c r="AJ42">
        <v>200000</v>
      </c>
      <c r="AK42">
        <v>1000000</v>
      </c>
      <c r="AL42">
        <v>10000</v>
      </c>
      <c r="AM42">
        <v>10000</v>
      </c>
      <c r="AN42">
        <v>450.37</v>
      </c>
      <c r="AO42">
        <v>450.37</v>
      </c>
      <c r="AP42">
        <v>112.59</v>
      </c>
      <c r="AQ42">
        <v>56.3</v>
      </c>
      <c r="AR42">
        <v>56.3</v>
      </c>
      <c r="AS42" t="s">
        <v>86</v>
      </c>
      <c r="AT42" t="s">
        <v>86</v>
      </c>
      <c r="AU42">
        <v>0</v>
      </c>
      <c r="AV42">
        <v>0</v>
      </c>
    </row>
    <row r="43" spans="1:48" x14ac:dyDescent="0.3">
      <c r="A43">
        <v>3988</v>
      </c>
      <c r="B43" t="s">
        <v>104</v>
      </c>
      <c r="C43" t="s">
        <v>275</v>
      </c>
      <c r="D43" t="s">
        <v>276</v>
      </c>
      <c r="E43" t="s">
        <v>105</v>
      </c>
      <c r="F43" t="s">
        <v>151</v>
      </c>
      <c r="G43" t="s">
        <v>152</v>
      </c>
      <c r="H43">
        <v>0</v>
      </c>
      <c r="I43">
        <v>0</v>
      </c>
      <c r="J43" t="s">
        <v>106</v>
      </c>
      <c r="K43" t="s">
        <v>106</v>
      </c>
      <c r="N43" s="9">
        <v>46122</v>
      </c>
      <c r="O43">
        <v>10598</v>
      </c>
      <c r="P43">
        <v>1</v>
      </c>
      <c r="Q43">
        <v>11</v>
      </c>
      <c r="R43" t="s">
        <v>86</v>
      </c>
      <c r="S43" t="s">
        <v>87</v>
      </c>
      <c r="T43" t="s">
        <v>153</v>
      </c>
      <c r="U43" t="s">
        <v>154</v>
      </c>
      <c r="V43">
        <v>2026</v>
      </c>
      <c r="W43">
        <v>2026</v>
      </c>
      <c r="X43" t="s">
        <v>155</v>
      </c>
      <c r="Y43">
        <v>0</v>
      </c>
      <c r="Z43">
        <v>0</v>
      </c>
      <c r="AA43">
        <v>0</v>
      </c>
      <c r="AB43" t="s">
        <v>156</v>
      </c>
      <c r="AC43">
        <v>85</v>
      </c>
      <c r="AD43">
        <v>97920</v>
      </c>
      <c r="AE43" t="s">
        <v>108</v>
      </c>
      <c r="AF43">
        <v>1964.1</v>
      </c>
      <c r="AG43">
        <v>5432.6</v>
      </c>
      <c r="AH43">
        <v>0</v>
      </c>
      <c r="AI43">
        <v>150000</v>
      </c>
      <c r="AJ43">
        <v>0</v>
      </c>
      <c r="AK43">
        <v>150000</v>
      </c>
      <c r="AL43">
        <v>10000</v>
      </c>
      <c r="AM43">
        <v>10000</v>
      </c>
      <c r="AN43">
        <v>561.16999999999996</v>
      </c>
      <c r="AO43">
        <v>0</v>
      </c>
      <c r="AP43">
        <v>140.29</v>
      </c>
      <c r="AQ43">
        <v>70.150000000000006</v>
      </c>
      <c r="AR43">
        <v>70.150000000000006</v>
      </c>
      <c r="AS43" t="s">
        <v>86</v>
      </c>
      <c r="AT43" t="s">
        <v>86</v>
      </c>
      <c r="AU43">
        <v>0</v>
      </c>
      <c r="AV43">
        <v>0</v>
      </c>
    </row>
    <row r="44" spans="1:48" x14ac:dyDescent="0.3">
      <c r="A44">
        <v>3989</v>
      </c>
      <c r="B44" t="s">
        <v>104</v>
      </c>
      <c r="C44" t="s">
        <v>279</v>
      </c>
      <c r="D44" t="s">
        <v>280</v>
      </c>
      <c r="E44" t="s">
        <v>105</v>
      </c>
      <c r="F44" t="s">
        <v>277</v>
      </c>
      <c r="G44" t="s">
        <v>278</v>
      </c>
      <c r="H44">
        <v>0</v>
      </c>
      <c r="I44">
        <v>0</v>
      </c>
      <c r="J44" t="s">
        <v>106</v>
      </c>
      <c r="K44" t="s">
        <v>106</v>
      </c>
      <c r="N44" s="9">
        <v>46122</v>
      </c>
      <c r="O44">
        <v>10665</v>
      </c>
      <c r="P44">
        <v>1</v>
      </c>
      <c r="Q44">
        <v>1</v>
      </c>
      <c r="R44" t="s">
        <v>86</v>
      </c>
      <c r="S44" t="s">
        <v>87</v>
      </c>
      <c r="T44" t="s">
        <v>89</v>
      </c>
      <c r="U44" t="s">
        <v>132</v>
      </c>
      <c r="V44">
        <v>2026</v>
      </c>
      <c r="W44">
        <v>2026</v>
      </c>
      <c r="X44" t="s">
        <v>107</v>
      </c>
      <c r="Y44">
        <v>0</v>
      </c>
      <c r="Z44">
        <v>0</v>
      </c>
      <c r="AA44">
        <v>0</v>
      </c>
      <c r="AB44" t="s">
        <v>88</v>
      </c>
      <c r="AC44">
        <v>85</v>
      </c>
      <c r="AD44">
        <v>84669</v>
      </c>
      <c r="AE44" t="s">
        <v>108</v>
      </c>
      <c r="AF44">
        <v>1825.9</v>
      </c>
      <c r="AG44">
        <v>5050.3500000000004</v>
      </c>
      <c r="AH44">
        <v>0</v>
      </c>
      <c r="AI44">
        <v>150000</v>
      </c>
      <c r="AJ44">
        <v>0</v>
      </c>
      <c r="AK44">
        <v>150000</v>
      </c>
      <c r="AL44">
        <v>10000</v>
      </c>
      <c r="AM44">
        <v>10000</v>
      </c>
      <c r="AN44">
        <v>521.69000000000005</v>
      </c>
      <c r="AO44">
        <v>0</v>
      </c>
      <c r="AP44">
        <v>130.41999999999999</v>
      </c>
      <c r="AQ44">
        <v>65.209999999999994</v>
      </c>
      <c r="AR44">
        <v>65.209999999999994</v>
      </c>
      <c r="AS44" t="s">
        <v>86</v>
      </c>
      <c r="AT44" t="s">
        <v>86</v>
      </c>
      <c r="AU44">
        <v>0</v>
      </c>
      <c r="AV44">
        <v>0</v>
      </c>
    </row>
    <row r="45" spans="1:48" x14ac:dyDescent="0.3">
      <c r="A45">
        <v>3990</v>
      </c>
      <c r="B45" t="s">
        <v>104</v>
      </c>
      <c r="C45" t="s">
        <v>281</v>
      </c>
      <c r="D45" t="s">
        <v>282</v>
      </c>
      <c r="E45" t="s">
        <v>105</v>
      </c>
      <c r="F45" t="s">
        <v>277</v>
      </c>
      <c r="G45" t="s">
        <v>278</v>
      </c>
      <c r="H45">
        <v>0</v>
      </c>
      <c r="I45">
        <v>0</v>
      </c>
      <c r="J45" t="s">
        <v>106</v>
      </c>
      <c r="K45" t="s">
        <v>106</v>
      </c>
      <c r="N45" s="9">
        <v>46122</v>
      </c>
      <c r="O45">
        <v>10665</v>
      </c>
      <c r="P45">
        <v>1</v>
      </c>
      <c r="Q45">
        <v>2</v>
      </c>
      <c r="R45" t="s">
        <v>86</v>
      </c>
      <c r="S45" t="s">
        <v>87</v>
      </c>
      <c r="T45" t="s">
        <v>89</v>
      </c>
      <c r="U45" t="s">
        <v>132</v>
      </c>
      <c r="V45">
        <v>2026</v>
      </c>
      <c r="W45">
        <v>2026</v>
      </c>
      <c r="X45" t="s">
        <v>107</v>
      </c>
      <c r="Y45">
        <v>0</v>
      </c>
      <c r="Z45">
        <v>0</v>
      </c>
      <c r="AA45">
        <v>0</v>
      </c>
      <c r="AB45" t="s">
        <v>88</v>
      </c>
      <c r="AC45">
        <v>85</v>
      </c>
      <c r="AD45">
        <v>84669</v>
      </c>
      <c r="AE45" t="s">
        <v>108</v>
      </c>
      <c r="AF45">
        <v>1825.9</v>
      </c>
      <c r="AG45">
        <v>5050.3500000000004</v>
      </c>
      <c r="AH45">
        <v>0</v>
      </c>
      <c r="AI45">
        <v>150000</v>
      </c>
      <c r="AJ45">
        <v>0</v>
      </c>
      <c r="AK45">
        <v>150000</v>
      </c>
      <c r="AL45">
        <v>10000</v>
      </c>
      <c r="AM45">
        <v>10000</v>
      </c>
      <c r="AN45">
        <v>521.69000000000005</v>
      </c>
      <c r="AO45">
        <v>0</v>
      </c>
      <c r="AP45">
        <v>130.41999999999999</v>
      </c>
      <c r="AQ45">
        <v>65.209999999999994</v>
      </c>
      <c r="AR45">
        <v>65.209999999999994</v>
      </c>
      <c r="AS45" t="s">
        <v>86</v>
      </c>
      <c r="AT45" t="s">
        <v>86</v>
      </c>
      <c r="AU45">
        <v>0</v>
      </c>
      <c r="AV45">
        <v>0</v>
      </c>
    </row>
    <row r="46" spans="1:48" x14ac:dyDescent="0.3">
      <c r="A46">
        <v>3991</v>
      </c>
      <c r="B46" t="s">
        <v>104</v>
      </c>
      <c r="C46" t="s">
        <v>283</v>
      </c>
      <c r="D46" t="s">
        <v>284</v>
      </c>
      <c r="E46" t="s">
        <v>105</v>
      </c>
      <c r="F46" t="s">
        <v>277</v>
      </c>
      <c r="G46" t="s">
        <v>278</v>
      </c>
      <c r="H46">
        <v>0</v>
      </c>
      <c r="I46">
        <v>0</v>
      </c>
      <c r="J46" t="s">
        <v>106</v>
      </c>
      <c r="K46" t="s">
        <v>106</v>
      </c>
      <c r="N46" s="9">
        <v>46122</v>
      </c>
      <c r="O46">
        <v>10665</v>
      </c>
      <c r="P46">
        <v>1</v>
      </c>
      <c r="Q46">
        <v>3</v>
      </c>
      <c r="R46" t="s">
        <v>86</v>
      </c>
      <c r="S46" t="s">
        <v>87</v>
      </c>
      <c r="T46" t="s">
        <v>89</v>
      </c>
      <c r="U46" t="s">
        <v>132</v>
      </c>
      <c r="V46">
        <v>2026</v>
      </c>
      <c r="W46">
        <v>2026</v>
      </c>
      <c r="X46" t="s">
        <v>107</v>
      </c>
      <c r="Y46">
        <v>0</v>
      </c>
      <c r="Z46">
        <v>0</v>
      </c>
      <c r="AA46">
        <v>0</v>
      </c>
      <c r="AB46" t="s">
        <v>88</v>
      </c>
      <c r="AC46">
        <v>85</v>
      </c>
      <c r="AD46">
        <v>84669</v>
      </c>
      <c r="AE46" t="s">
        <v>108</v>
      </c>
      <c r="AF46">
        <v>1825.9</v>
      </c>
      <c r="AG46">
        <v>5050.3500000000004</v>
      </c>
      <c r="AH46">
        <v>0</v>
      </c>
      <c r="AI46">
        <v>150000</v>
      </c>
      <c r="AJ46">
        <v>0</v>
      </c>
      <c r="AK46">
        <v>150000</v>
      </c>
      <c r="AL46">
        <v>10000</v>
      </c>
      <c r="AM46">
        <v>10000</v>
      </c>
      <c r="AN46">
        <v>521.69000000000005</v>
      </c>
      <c r="AO46">
        <v>0</v>
      </c>
      <c r="AP46">
        <v>130.41999999999999</v>
      </c>
      <c r="AQ46">
        <v>65.209999999999994</v>
      </c>
      <c r="AR46">
        <v>65.209999999999994</v>
      </c>
      <c r="AS46" t="s">
        <v>86</v>
      </c>
      <c r="AT46" t="s">
        <v>86</v>
      </c>
      <c r="AU46">
        <v>0</v>
      </c>
      <c r="AV46">
        <v>0</v>
      </c>
    </row>
    <row r="47" spans="1:48" x14ac:dyDescent="0.3">
      <c r="A47">
        <v>4045</v>
      </c>
      <c r="B47" t="s">
        <v>104</v>
      </c>
      <c r="C47" t="s">
        <v>285</v>
      </c>
      <c r="D47" t="s">
        <v>286</v>
      </c>
      <c r="E47" t="s">
        <v>105</v>
      </c>
      <c r="F47" t="s">
        <v>151</v>
      </c>
      <c r="G47" t="s">
        <v>152</v>
      </c>
      <c r="H47">
        <v>0</v>
      </c>
      <c r="I47">
        <v>0</v>
      </c>
      <c r="J47" t="s">
        <v>106</v>
      </c>
      <c r="K47" t="s">
        <v>106</v>
      </c>
      <c r="N47" s="9">
        <v>46126</v>
      </c>
      <c r="O47">
        <v>10598</v>
      </c>
      <c r="P47">
        <v>1</v>
      </c>
      <c r="Q47">
        <v>12</v>
      </c>
      <c r="R47" t="s">
        <v>86</v>
      </c>
      <c r="S47" t="s">
        <v>87</v>
      </c>
      <c r="T47" t="s">
        <v>153</v>
      </c>
      <c r="U47" t="s">
        <v>154</v>
      </c>
      <c r="V47">
        <v>2026</v>
      </c>
      <c r="W47">
        <v>2026</v>
      </c>
      <c r="X47" t="s">
        <v>155</v>
      </c>
      <c r="Y47">
        <v>0</v>
      </c>
      <c r="Z47">
        <v>0</v>
      </c>
      <c r="AA47">
        <v>0</v>
      </c>
      <c r="AB47" t="s">
        <v>156</v>
      </c>
      <c r="AC47">
        <v>85</v>
      </c>
      <c r="AD47">
        <v>97920</v>
      </c>
      <c r="AE47" t="s">
        <v>108</v>
      </c>
      <c r="AF47">
        <v>1964.1</v>
      </c>
      <c r="AG47">
        <v>5432.6</v>
      </c>
      <c r="AH47">
        <v>0</v>
      </c>
      <c r="AI47">
        <v>150000</v>
      </c>
      <c r="AJ47">
        <v>0</v>
      </c>
      <c r="AK47">
        <v>150000</v>
      </c>
      <c r="AL47">
        <v>10000</v>
      </c>
      <c r="AM47">
        <v>10000</v>
      </c>
      <c r="AN47">
        <v>561.16999999999996</v>
      </c>
      <c r="AO47">
        <v>0</v>
      </c>
      <c r="AP47">
        <v>140.29</v>
      </c>
      <c r="AQ47">
        <v>70.150000000000006</v>
      </c>
      <c r="AR47">
        <v>70.150000000000006</v>
      </c>
      <c r="AS47" t="s">
        <v>86</v>
      </c>
      <c r="AT47" t="s">
        <v>86</v>
      </c>
      <c r="AU47">
        <v>0</v>
      </c>
      <c r="AV47">
        <v>0</v>
      </c>
    </row>
    <row r="48" spans="1:48" x14ac:dyDescent="0.3">
      <c r="A48">
        <v>4046</v>
      </c>
      <c r="B48" t="s">
        <v>104</v>
      </c>
      <c r="C48" t="s">
        <v>289</v>
      </c>
      <c r="D48" t="s">
        <v>290</v>
      </c>
      <c r="E48" t="s">
        <v>138</v>
      </c>
      <c r="F48" t="s">
        <v>287</v>
      </c>
      <c r="G48" t="s">
        <v>288</v>
      </c>
      <c r="H48">
        <v>0</v>
      </c>
      <c r="I48">
        <v>0</v>
      </c>
      <c r="J48" t="s">
        <v>106</v>
      </c>
      <c r="K48" t="s">
        <v>106</v>
      </c>
      <c r="N48" s="9">
        <v>46126</v>
      </c>
      <c r="O48">
        <v>10630</v>
      </c>
      <c r="P48">
        <v>1</v>
      </c>
      <c r="Q48">
        <v>1</v>
      </c>
      <c r="R48" t="s">
        <v>86</v>
      </c>
      <c r="S48" t="s">
        <v>87</v>
      </c>
      <c r="T48" t="s">
        <v>91</v>
      </c>
      <c r="U48" t="s">
        <v>114</v>
      </c>
      <c r="V48">
        <v>2024</v>
      </c>
      <c r="W48">
        <v>2024</v>
      </c>
      <c r="X48" t="s">
        <v>112</v>
      </c>
      <c r="Y48">
        <v>0</v>
      </c>
      <c r="Z48">
        <v>0</v>
      </c>
      <c r="AA48">
        <v>0</v>
      </c>
      <c r="AB48" t="s">
        <v>93</v>
      </c>
      <c r="AC48">
        <v>85</v>
      </c>
      <c r="AD48">
        <v>450414</v>
      </c>
      <c r="AE48" t="s">
        <v>108</v>
      </c>
      <c r="AF48">
        <v>3870.96</v>
      </c>
      <c r="AG48">
        <v>24455.05</v>
      </c>
      <c r="AH48">
        <v>0</v>
      </c>
      <c r="AI48">
        <v>150000</v>
      </c>
      <c r="AJ48">
        <v>0</v>
      </c>
      <c r="AK48">
        <v>150000</v>
      </c>
      <c r="AL48">
        <v>10000</v>
      </c>
      <c r="AM48">
        <v>10000</v>
      </c>
      <c r="AN48">
        <v>1105.99</v>
      </c>
      <c r="AO48">
        <v>0</v>
      </c>
      <c r="AP48">
        <v>276.5</v>
      </c>
      <c r="AQ48">
        <v>138.25</v>
      </c>
      <c r="AR48">
        <v>138.25</v>
      </c>
      <c r="AS48" t="s">
        <v>86</v>
      </c>
      <c r="AT48" t="s">
        <v>86</v>
      </c>
      <c r="AU48">
        <v>0</v>
      </c>
      <c r="AV48">
        <v>0</v>
      </c>
    </row>
    <row r="49" spans="1:48" x14ac:dyDescent="0.3">
      <c r="A49">
        <v>4047</v>
      </c>
      <c r="B49" t="s">
        <v>104</v>
      </c>
      <c r="C49" t="s">
        <v>291</v>
      </c>
      <c r="D49" t="s">
        <v>292</v>
      </c>
      <c r="E49" t="s">
        <v>105</v>
      </c>
      <c r="F49" t="s">
        <v>149</v>
      </c>
      <c r="G49" t="s">
        <v>150</v>
      </c>
      <c r="H49">
        <v>0</v>
      </c>
      <c r="I49">
        <v>0</v>
      </c>
      <c r="J49" t="s">
        <v>106</v>
      </c>
      <c r="K49" t="s">
        <v>106</v>
      </c>
      <c r="N49" s="9">
        <v>46126</v>
      </c>
      <c r="O49">
        <v>10681</v>
      </c>
      <c r="P49">
        <v>1</v>
      </c>
      <c r="Q49">
        <v>4</v>
      </c>
      <c r="R49" t="s">
        <v>86</v>
      </c>
      <c r="S49" t="s">
        <v>87</v>
      </c>
      <c r="T49" t="s">
        <v>89</v>
      </c>
      <c r="U49" t="s">
        <v>132</v>
      </c>
      <c r="V49">
        <v>2026</v>
      </c>
      <c r="W49">
        <v>2026</v>
      </c>
      <c r="X49" t="s">
        <v>107</v>
      </c>
      <c r="Y49">
        <v>0</v>
      </c>
      <c r="Z49">
        <v>0</v>
      </c>
      <c r="AA49">
        <v>0</v>
      </c>
      <c r="AB49" t="s">
        <v>88</v>
      </c>
      <c r="AC49">
        <v>85</v>
      </c>
      <c r="AD49">
        <v>84669</v>
      </c>
      <c r="AE49" t="s">
        <v>108</v>
      </c>
      <c r="AF49">
        <v>1825.9</v>
      </c>
      <c r="AG49">
        <v>5050.3500000000004</v>
      </c>
      <c r="AH49">
        <v>0</v>
      </c>
      <c r="AI49">
        <v>150000</v>
      </c>
      <c r="AJ49">
        <v>0</v>
      </c>
      <c r="AK49">
        <v>150000</v>
      </c>
      <c r="AL49">
        <v>10000</v>
      </c>
      <c r="AM49">
        <v>10000</v>
      </c>
      <c r="AN49">
        <v>521.69000000000005</v>
      </c>
      <c r="AO49">
        <v>0</v>
      </c>
      <c r="AP49">
        <v>130.41999999999999</v>
      </c>
      <c r="AQ49">
        <v>65.209999999999994</v>
      </c>
      <c r="AR49">
        <v>65.209999999999994</v>
      </c>
      <c r="AS49" t="s">
        <v>86</v>
      </c>
      <c r="AT49" t="s">
        <v>86</v>
      </c>
      <c r="AU49">
        <v>0</v>
      </c>
      <c r="AV49">
        <v>0</v>
      </c>
    </row>
    <row r="50" spans="1:48" x14ac:dyDescent="0.3">
      <c r="A50">
        <v>4048</v>
      </c>
      <c r="B50" t="s">
        <v>104</v>
      </c>
      <c r="C50" t="s">
        <v>293</v>
      </c>
      <c r="D50" t="s">
        <v>294</v>
      </c>
      <c r="E50" t="s">
        <v>105</v>
      </c>
      <c r="F50" t="s">
        <v>149</v>
      </c>
      <c r="G50" t="s">
        <v>150</v>
      </c>
      <c r="H50">
        <v>0</v>
      </c>
      <c r="I50">
        <v>0</v>
      </c>
      <c r="J50" t="s">
        <v>106</v>
      </c>
      <c r="K50" t="s">
        <v>106</v>
      </c>
      <c r="N50" s="9">
        <v>46126</v>
      </c>
      <c r="O50">
        <v>10681</v>
      </c>
      <c r="P50">
        <v>1</v>
      </c>
      <c r="Q50">
        <v>5</v>
      </c>
      <c r="R50" t="s">
        <v>86</v>
      </c>
      <c r="S50" t="s">
        <v>87</v>
      </c>
      <c r="T50" t="s">
        <v>89</v>
      </c>
      <c r="U50" t="s">
        <v>132</v>
      </c>
      <c r="V50">
        <v>2026</v>
      </c>
      <c r="W50">
        <v>2026</v>
      </c>
      <c r="X50" t="s">
        <v>107</v>
      </c>
      <c r="Y50">
        <v>0</v>
      </c>
      <c r="Z50">
        <v>0</v>
      </c>
      <c r="AA50">
        <v>0</v>
      </c>
      <c r="AB50" t="s">
        <v>88</v>
      </c>
      <c r="AC50">
        <v>85</v>
      </c>
      <c r="AD50">
        <v>84669</v>
      </c>
      <c r="AE50" t="s">
        <v>108</v>
      </c>
      <c r="AF50">
        <v>1825.9</v>
      </c>
      <c r="AG50">
        <v>5050.3500000000004</v>
      </c>
      <c r="AH50">
        <v>0</v>
      </c>
      <c r="AI50">
        <v>150000</v>
      </c>
      <c r="AJ50">
        <v>0</v>
      </c>
      <c r="AK50">
        <v>150000</v>
      </c>
      <c r="AL50">
        <v>10000</v>
      </c>
      <c r="AM50">
        <v>10000</v>
      </c>
      <c r="AN50">
        <v>521.69000000000005</v>
      </c>
      <c r="AO50">
        <v>0</v>
      </c>
      <c r="AP50">
        <v>130.41999999999999</v>
      </c>
      <c r="AQ50">
        <v>65.209999999999994</v>
      </c>
      <c r="AR50">
        <v>65.209999999999994</v>
      </c>
      <c r="AS50" t="s">
        <v>86</v>
      </c>
      <c r="AT50" t="s">
        <v>86</v>
      </c>
      <c r="AU50">
        <v>0</v>
      </c>
      <c r="AV50">
        <v>0</v>
      </c>
    </row>
    <row r="51" spans="1:48" x14ac:dyDescent="0.3">
      <c r="A51">
        <v>4049</v>
      </c>
      <c r="B51" t="s">
        <v>104</v>
      </c>
      <c r="C51" t="s">
        <v>297</v>
      </c>
      <c r="D51" t="s">
        <v>298</v>
      </c>
      <c r="E51" t="s">
        <v>144</v>
      </c>
      <c r="F51" t="s">
        <v>295</v>
      </c>
      <c r="G51" t="s">
        <v>296</v>
      </c>
      <c r="H51">
        <v>0</v>
      </c>
      <c r="I51">
        <v>0</v>
      </c>
      <c r="J51" t="s">
        <v>106</v>
      </c>
      <c r="K51" t="s">
        <v>106</v>
      </c>
      <c r="N51" s="9">
        <v>46126</v>
      </c>
      <c r="O51">
        <v>10683</v>
      </c>
      <c r="P51">
        <v>1</v>
      </c>
      <c r="Q51">
        <v>1</v>
      </c>
      <c r="R51" t="s">
        <v>86</v>
      </c>
      <c r="S51" t="s">
        <v>87</v>
      </c>
      <c r="T51" t="s">
        <v>299</v>
      </c>
      <c r="U51" t="s">
        <v>833</v>
      </c>
      <c r="V51">
        <v>2025</v>
      </c>
      <c r="W51">
        <v>2026</v>
      </c>
      <c r="X51" t="s">
        <v>107</v>
      </c>
      <c r="Y51">
        <v>0</v>
      </c>
      <c r="Z51">
        <v>0</v>
      </c>
      <c r="AA51">
        <v>0</v>
      </c>
      <c r="AB51" t="s">
        <v>301</v>
      </c>
      <c r="AC51">
        <v>85</v>
      </c>
      <c r="AD51">
        <v>137622</v>
      </c>
      <c r="AE51" t="s">
        <v>113</v>
      </c>
      <c r="AF51">
        <v>1925.03</v>
      </c>
      <c r="AG51">
        <v>8838.1</v>
      </c>
      <c r="AH51">
        <v>0</v>
      </c>
      <c r="AI51">
        <v>300000</v>
      </c>
      <c r="AJ51">
        <v>0</v>
      </c>
      <c r="AK51">
        <v>300000</v>
      </c>
      <c r="AL51">
        <v>10000</v>
      </c>
      <c r="AM51">
        <v>10000</v>
      </c>
      <c r="AN51">
        <v>548.45000000000005</v>
      </c>
      <c r="AO51">
        <v>0</v>
      </c>
      <c r="AP51">
        <v>137.11000000000001</v>
      </c>
      <c r="AQ51">
        <v>68.75</v>
      </c>
      <c r="AR51">
        <v>68.75</v>
      </c>
      <c r="AS51" t="s">
        <v>86</v>
      </c>
      <c r="AT51" t="s">
        <v>86</v>
      </c>
      <c r="AU51">
        <v>0</v>
      </c>
      <c r="AV51">
        <v>0</v>
      </c>
    </row>
    <row r="52" spans="1:48" x14ac:dyDescent="0.3">
      <c r="A52">
        <v>4050</v>
      </c>
      <c r="B52" t="s">
        <v>104</v>
      </c>
      <c r="C52" t="s">
        <v>302</v>
      </c>
      <c r="D52" t="s">
        <v>303</v>
      </c>
      <c r="E52" t="s">
        <v>105</v>
      </c>
      <c r="F52" t="s">
        <v>97</v>
      </c>
      <c r="G52" t="s">
        <v>98</v>
      </c>
      <c r="H52">
        <v>0</v>
      </c>
      <c r="I52">
        <v>0</v>
      </c>
      <c r="J52" t="s">
        <v>106</v>
      </c>
      <c r="K52" t="s">
        <v>106</v>
      </c>
      <c r="N52" s="9">
        <v>46126</v>
      </c>
      <c r="O52">
        <v>10420</v>
      </c>
      <c r="P52">
        <v>9</v>
      </c>
      <c r="Q52">
        <v>107</v>
      </c>
      <c r="R52" t="s">
        <v>86</v>
      </c>
      <c r="S52" t="s">
        <v>87</v>
      </c>
      <c r="T52" t="s">
        <v>99</v>
      </c>
      <c r="U52" t="s">
        <v>116</v>
      </c>
      <c r="V52">
        <v>2026</v>
      </c>
      <c r="W52">
        <v>2026</v>
      </c>
      <c r="X52" t="s">
        <v>107</v>
      </c>
      <c r="Y52">
        <v>0</v>
      </c>
      <c r="Z52">
        <v>0</v>
      </c>
      <c r="AA52">
        <v>0</v>
      </c>
      <c r="AB52" t="s">
        <v>101</v>
      </c>
      <c r="AC52">
        <v>85</v>
      </c>
      <c r="AD52">
        <v>133248</v>
      </c>
      <c r="AE52" t="s">
        <v>117</v>
      </c>
      <c r="AF52">
        <v>1675.54</v>
      </c>
      <c r="AG52">
        <v>7049</v>
      </c>
      <c r="AH52">
        <v>0</v>
      </c>
      <c r="AI52">
        <v>1000000</v>
      </c>
      <c r="AJ52">
        <v>200000</v>
      </c>
      <c r="AK52">
        <v>1000000</v>
      </c>
      <c r="AL52">
        <v>10000</v>
      </c>
      <c r="AM52">
        <v>10000</v>
      </c>
      <c r="AN52">
        <v>450.37</v>
      </c>
      <c r="AO52">
        <v>450.37</v>
      </c>
      <c r="AP52">
        <v>112.59</v>
      </c>
      <c r="AQ52">
        <v>56.3</v>
      </c>
      <c r="AR52">
        <v>56.3</v>
      </c>
      <c r="AS52" t="s">
        <v>86</v>
      </c>
      <c r="AT52" t="s">
        <v>86</v>
      </c>
      <c r="AU52">
        <v>0</v>
      </c>
      <c r="AV52">
        <v>0</v>
      </c>
    </row>
    <row r="53" spans="1:48" x14ac:dyDescent="0.3">
      <c r="A53">
        <v>4051</v>
      </c>
      <c r="B53" t="s">
        <v>104</v>
      </c>
      <c r="C53" t="s">
        <v>304</v>
      </c>
      <c r="D53" t="s">
        <v>305</v>
      </c>
      <c r="E53" t="s">
        <v>105</v>
      </c>
      <c r="F53" t="s">
        <v>97</v>
      </c>
      <c r="G53" t="s">
        <v>98</v>
      </c>
      <c r="H53">
        <v>0</v>
      </c>
      <c r="I53">
        <v>0</v>
      </c>
      <c r="J53" t="s">
        <v>106</v>
      </c>
      <c r="K53" t="s">
        <v>106</v>
      </c>
      <c r="N53" s="9">
        <v>46126</v>
      </c>
      <c r="O53">
        <v>10420</v>
      </c>
      <c r="P53">
        <v>9</v>
      </c>
      <c r="Q53">
        <v>108</v>
      </c>
      <c r="R53" t="s">
        <v>86</v>
      </c>
      <c r="S53" t="s">
        <v>87</v>
      </c>
      <c r="T53" t="s">
        <v>99</v>
      </c>
      <c r="U53" t="s">
        <v>116</v>
      </c>
      <c r="V53">
        <v>2026</v>
      </c>
      <c r="W53">
        <v>2026</v>
      </c>
      <c r="X53" t="s">
        <v>107</v>
      </c>
      <c r="Y53">
        <v>0</v>
      </c>
      <c r="Z53">
        <v>0</v>
      </c>
      <c r="AA53">
        <v>0</v>
      </c>
      <c r="AB53" t="s">
        <v>101</v>
      </c>
      <c r="AC53">
        <v>85</v>
      </c>
      <c r="AD53">
        <v>133248</v>
      </c>
      <c r="AE53" t="s">
        <v>117</v>
      </c>
      <c r="AF53">
        <v>1675.54</v>
      </c>
      <c r="AG53">
        <v>7049</v>
      </c>
      <c r="AH53">
        <v>0</v>
      </c>
      <c r="AI53">
        <v>1000000</v>
      </c>
      <c r="AJ53">
        <v>200000</v>
      </c>
      <c r="AK53">
        <v>1000000</v>
      </c>
      <c r="AL53">
        <v>10000</v>
      </c>
      <c r="AM53">
        <v>10000</v>
      </c>
      <c r="AN53">
        <v>450.37</v>
      </c>
      <c r="AO53">
        <v>450.37</v>
      </c>
      <c r="AP53">
        <v>112.59</v>
      </c>
      <c r="AQ53">
        <v>56.3</v>
      </c>
      <c r="AR53">
        <v>56.3</v>
      </c>
      <c r="AS53" t="s">
        <v>86</v>
      </c>
      <c r="AT53" t="s">
        <v>86</v>
      </c>
      <c r="AU53">
        <v>0</v>
      </c>
      <c r="AV53">
        <v>0</v>
      </c>
    </row>
    <row r="54" spans="1:48" x14ac:dyDescent="0.3">
      <c r="A54">
        <v>4052</v>
      </c>
      <c r="B54" t="s">
        <v>104</v>
      </c>
      <c r="C54" t="s">
        <v>306</v>
      </c>
      <c r="D54" t="s">
        <v>307</v>
      </c>
      <c r="E54" t="s">
        <v>105</v>
      </c>
      <c r="F54" t="s">
        <v>97</v>
      </c>
      <c r="G54" t="s">
        <v>98</v>
      </c>
      <c r="H54">
        <v>0</v>
      </c>
      <c r="I54">
        <v>0</v>
      </c>
      <c r="J54" t="s">
        <v>106</v>
      </c>
      <c r="K54" t="s">
        <v>106</v>
      </c>
      <c r="N54" s="9">
        <v>46126</v>
      </c>
      <c r="O54">
        <v>10420</v>
      </c>
      <c r="P54">
        <v>8</v>
      </c>
      <c r="Q54">
        <v>32</v>
      </c>
      <c r="R54" t="s">
        <v>86</v>
      </c>
      <c r="S54" t="s">
        <v>87</v>
      </c>
      <c r="T54" t="s">
        <v>102</v>
      </c>
      <c r="U54" t="s">
        <v>118</v>
      </c>
      <c r="V54">
        <v>2025</v>
      </c>
      <c r="W54">
        <v>2026</v>
      </c>
      <c r="X54" t="s">
        <v>107</v>
      </c>
      <c r="Y54">
        <v>0</v>
      </c>
      <c r="Z54">
        <v>0</v>
      </c>
      <c r="AA54">
        <v>0</v>
      </c>
      <c r="AB54" t="s">
        <v>101</v>
      </c>
      <c r="AC54">
        <v>85</v>
      </c>
      <c r="AD54">
        <v>112451</v>
      </c>
      <c r="AE54" t="s">
        <v>117</v>
      </c>
      <c r="AF54">
        <v>1675.54</v>
      </c>
      <c r="AG54">
        <v>7049</v>
      </c>
      <c r="AH54">
        <v>0</v>
      </c>
      <c r="AI54">
        <v>1000000</v>
      </c>
      <c r="AJ54">
        <v>200000</v>
      </c>
      <c r="AK54">
        <v>1000000</v>
      </c>
      <c r="AL54">
        <v>10000</v>
      </c>
      <c r="AM54">
        <v>10000</v>
      </c>
      <c r="AN54">
        <v>450.37</v>
      </c>
      <c r="AO54">
        <v>450.37</v>
      </c>
      <c r="AP54">
        <v>112.59</v>
      </c>
      <c r="AQ54">
        <v>56.3</v>
      </c>
      <c r="AR54">
        <v>56.3</v>
      </c>
      <c r="AS54" t="s">
        <v>86</v>
      </c>
      <c r="AT54" t="s">
        <v>86</v>
      </c>
      <c r="AU54">
        <v>0</v>
      </c>
      <c r="AV54">
        <v>0</v>
      </c>
    </row>
    <row r="55" spans="1:48" x14ac:dyDescent="0.3">
      <c r="A55">
        <v>4053</v>
      </c>
      <c r="B55" t="s">
        <v>104</v>
      </c>
      <c r="C55" t="s">
        <v>308</v>
      </c>
      <c r="D55" t="s">
        <v>309</v>
      </c>
      <c r="E55" t="s">
        <v>105</v>
      </c>
      <c r="F55" t="s">
        <v>97</v>
      </c>
      <c r="G55" t="s">
        <v>98</v>
      </c>
      <c r="H55">
        <v>0</v>
      </c>
      <c r="I55">
        <v>0</v>
      </c>
      <c r="J55" t="s">
        <v>106</v>
      </c>
      <c r="K55" t="s">
        <v>106</v>
      </c>
      <c r="N55" s="9">
        <v>46126</v>
      </c>
      <c r="O55">
        <v>10420</v>
      </c>
      <c r="P55">
        <v>9</v>
      </c>
      <c r="Q55">
        <v>109</v>
      </c>
      <c r="R55" t="s">
        <v>86</v>
      </c>
      <c r="S55" t="s">
        <v>87</v>
      </c>
      <c r="T55" t="s">
        <v>99</v>
      </c>
      <c r="U55" t="s">
        <v>116</v>
      </c>
      <c r="V55">
        <v>2026</v>
      </c>
      <c r="W55">
        <v>2026</v>
      </c>
      <c r="X55" t="s">
        <v>107</v>
      </c>
      <c r="Y55">
        <v>0</v>
      </c>
      <c r="Z55">
        <v>0</v>
      </c>
      <c r="AA55">
        <v>0</v>
      </c>
      <c r="AB55" t="s">
        <v>101</v>
      </c>
      <c r="AC55">
        <v>85</v>
      </c>
      <c r="AD55">
        <v>133248</v>
      </c>
      <c r="AE55" t="s">
        <v>117</v>
      </c>
      <c r="AF55">
        <v>1675.54</v>
      </c>
      <c r="AG55">
        <v>7049</v>
      </c>
      <c r="AH55">
        <v>0</v>
      </c>
      <c r="AI55">
        <v>1000000</v>
      </c>
      <c r="AJ55">
        <v>200000</v>
      </c>
      <c r="AK55">
        <v>1000000</v>
      </c>
      <c r="AL55">
        <v>10000</v>
      </c>
      <c r="AM55">
        <v>10000</v>
      </c>
      <c r="AN55">
        <v>450.37</v>
      </c>
      <c r="AO55">
        <v>450.37</v>
      </c>
      <c r="AP55">
        <v>112.59</v>
      </c>
      <c r="AQ55">
        <v>56.3</v>
      </c>
      <c r="AR55">
        <v>56.3</v>
      </c>
      <c r="AS55" t="s">
        <v>86</v>
      </c>
      <c r="AT55" t="s">
        <v>86</v>
      </c>
      <c r="AU55">
        <v>0</v>
      </c>
      <c r="AV55">
        <v>0</v>
      </c>
    </row>
    <row r="56" spans="1:48" x14ac:dyDescent="0.3">
      <c r="A56">
        <v>4054</v>
      </c>
      <c r="B56" t="s">
        <v>104</v>
      </c>
      <c r="C56" t="s">
        <v>310</v>
      </c>
      <c r="D56" t="s">
        <v>311</v>
      </c>
      <c r="E56" t="s">
        <v>105</v>
      </c>
      <c r="F56" t="s">
        <v>97</v>
      </c>
      <c r="G56" t="s">
        <v>98</v>
      </c>
      <c r="H56">
        <v>0</v>
      </c>
      <c r="I56">
        <v>0</v>
      </c>
      <c r="J56" t="s">
        <v>106</v>
      </c>
      <c r="K56" t="s">
        <v>106</v>
      </c>
      <c r="N56" s="9">
        <v>46126</v>
      </c>
      <c r="O56">
        <v>10420</v>
      </c>
      <c r="P56">
        <v>8</v>
      </c>
      <c r="Q56">
        <v>33</v>
      </c>
      <c r="R56" t="s">
        <v>86</v>
      </c>
      <c r="S56" t="s">
        <v>87</v>
      </c>
      <c r="T56" t="s">
        <v>102</v>
      </c>
      <c r="U56" t="s">
        <v>118</v>
      </c>
      <c r="V56">
        <v>2025</v>
      </c>
      <c r="W56">
        <v>2026</v>
      </c>
      <c r="X56" t="s">
        <v>107</v>
      </c>
      <c r="Y56">
        <v>0</v>
      </c>
      <c r="Z56">
        <v>0</v>
      </c>
      <c r="AA56">
        <v>0</v>
      </c>
      <c r="AB56" t="s">
        <v>101</v>
      </c>
      <c r="AC56">
        <v>85</v>
      </c>
      <c r="AD56">
        <v>112451</v>
      </c>
      <c r="AE56" t="s">
        <v>117</v>
      </c>
      <c r="AF56">
        <v>1675.54</v>
      </c>
      <c r="AG56">
        <v>7049</v>
      </c>
      <c r="AH56">
        <v>0</v>
      </c>
      <c r="AI56">
        <v>1000000</v>
      </c>
      <c r="AJ56">
        <v>200000</v>
      </c>
      <c r="AK56">
        <v>1000000</v>
      </c>
      <c r="AL56">
        <v>10000</v>
      </c>
      <c r="AM56">
        <v>10000</v>
      </c>
      <c r="AN56">
        <v>450.37</v>
      </c>
      <c r="AO56">
        <v>450.37</v>
      </c>
      <c r="AP56">
        <v>112.59</v>
      </c>
      <c r="AQ56">
        <v>56.3</v>
      </c>
      <c r="AR56">
        <v>56.3</v>
      </c>
      <c r="AS56" t="s">
        <v>86</v>
      </c>
      <c r="AT56" t="s">
        <v>86</v>
      </c>
      <c r="AU56">
        <v>0</v>
      </c>
      <c r="AV56">
        <v>0</v>
      </c>
    </row>
    <row r="57" spans="1:48" x14ac:dyDescent="0.3">
      <c r="A57">
        <v>4056</v>
      </c>
      <c r="B57" t="s">
        <v>104</v>
      </c>
      <c r="C57" t="s">
        <v>312</v>
      </c>
      <c r="D57" t="s">
        <v>313</v>
      </c>
      <c r="E57" t="s">
        <v>105</v>
      </c>
      <c r="F57" t="s">
        <v>97</v>
      </c>
      <c r="G57" t="s">
        <v>98</v>
      </c>
      <c r="H57">
        <v>0</v>
      </c>
      <c r="I57">
        <v>0</v>
      </c>
      <c r="J57" t="s">
        <v>106</v>
      </c>
      <c r="K57" t="s">
        <v>106</v>
      </c>
      <c r="N57" s="9">
        <v>46127</v>
      </c>
      <c r="O57">
        <v>10420</v>
      </c>
      <c r="P57">
        <v>9</v>
      </c>
      <c r="Q57">
        <v>110</v>
      </c>
      <c r="R57" t="s">
        <v>86</v>
      </c>
      <c r="S57" t="s">
        <v>87</v>
      </c>
      <c r="T57" t="s">
        <v>99</v>
      </c>
      <c r="U57" t="s">
        <v>116</v>
      </c>
      <c r="V57">
        <v>2026</v>
      </c>
      <c r="W57">
        <v>2026</v>
      </c>
      <c r="X57" t="s">
        <v>107</v>
      </c>
      <c r="Y57">
        <v>0</v>
      </c>
      <c r="Z57">
        <v>0</v>
      </c>
      <c r="AA57">
        <v>0</v>
      </c>
      <c r="AB57" t="s">
        <v>101</v>
      </c>
      <c r="AC57">
        <v>85</v>
      </c>
      <c r="AD57">
        <v>133248</v>
      </c>
      <c r="AE57" t="s">
        <v>117</v>
      </c>
      <c r="AF57">
        <v>1675.54</v>
      </c>
      <c r="AG57">
        <v>7049</v>
      </c>
      <c r="AH57">
        <v>0</v>
      </c>
      <c r="AI57">
        <v>1000000</v>
      </c>
      <c r="AJ57">
        <v>200000</v>
      </c>
      <c r="AK57">
        <v>1000000</v>
      </c>
      <c r="AL57">
        <v>10000</v>
      </c>
      <c r="AM57">
        <v>10000</v>
      </c>
      <c r="AN57">
        <v>450.37</v>
      </c>
      <c r="AO57">
        <v>450.37</v>
      </c>
      <c r="AP57">
        <v>112.59</v>
      </c>
      <c r="AQ57">
        <v>56.3</v>
      </c>
      <c r="AR57">
        <v>56.3</v>
      </c>
      <c r="AS57" t="s">
        <v>86</v>
      </c>
      <c r="AT57" t="s">
        <v>86</v>
      </c>
      <c r="AU57">
        <v>0</v>
      </c>
      <c r="AV57">
        <v>0</v>
      </c>
    </row>
    <row r="58" spans="1:48" x14ac:dyDescent="0.3">
      <c r="A58">
        <v>4057</v>
      </c>
      <c r="B58" t="s">
        <v>104</v>
      </c>
      <c r="C58" t="s">
        <v>314</v>
      </c>
      <c r="D58" t="s">
        <v>315</v>
      </c>
      <c r="E58" t="s">
        <v>105</v>
      </c>
      <c r="F58" t="s">
        <v>97</v>
      </c>
      <c r="G58" t="s">
        <v>98</v>
      </c>
      <c r="H58">
        <v>0</v>
      </c>
      <c r="I58">
        <v>0</v>
      </c>
      <c r="J58" t="s">
        <v>106</v>
      </c>
      <c r="K58" t="s">
        <v>106</v>
      </c>
      <c r="N58" s="9">
        <v>46127</v>
      </c>
      <c r="O58">
        <v>10420</v>
      </c>
      <c r="P58">
        <v>9</v>
      </c>
      <c r="Q58">
        <v>111</v>
      </c>
      <c r="R58" t="s">
        <v>86</v>
      </c>
      <c r="S58" t="s">
        <v>87</v>
      </c>
      <c r="T58" t="s">
        <v>99</v>
      </c>
      <c r="U58" t="s">
        <v>116</v>
      </c>
      <c r="V58">
        <v>2026</v>
      </c>
      <c r="W58">
        <v>2026</v>
      </c>
      <c r="X58" t="s">
        <v>107</v>
      </c>
      <c r="Y58">
        <v>0</v>
      </c>
      <c r="Z58">
        <v>0</v>
      </c>
      <c r="AA58">
        <v>0</v>
      </c>
      <c r="AB58" t="s">
        <v>101</v>
      </c>
      <c r="AC58">
        <v>85</v>
      </c>
      <c r="AD58">
        <v>133248</v>
      </c>
      <c r="AE58" t="s">
        <v>117</v>
      </c>
      <c r="AF58">
        <v>1675.54</v>
      </c>
      <c r="AG58">
        <v>7049</v>
      </c>
      <c r="AH58">
        <v>0</v>
      </c>
      <c r="AI58">
        <v>1000000</v>
      </c>
      <c r="AJ58">
        <v>200000</v>
      </c>
      <c r="AK58">
        <v>1000000</v>
      </c>
      <c r="AL58">
        <v>10000</v>
      </c>
      <c r="AM58">
        <v>10000</v>
      </c>
      <c r="AN58">
        <v>450.37</v>
      </c>
      <c r="AO58">
        <v>450.37</v>
      </c>
      <c r="AP58">
        <v>112.59</v>
      </c>
      <c r="AQ58">
        <v>56.3</v>
      </c>
      <c r="AR58">
        <v>56.3</v>
      </c>
      <c r="AS58" t="s">
        <v>86</v>
      </c>
      <c r="AT58" t="s">
        <v>86</v>
      </c>
      <c r="AU58">
        <v>0</v>
      </c>
      <c r="AV58">
        <v>0</v>
      </c>
    </row>
    <row r="59" spans="1:48" x14ac:dyDescent="0.3">
      <c r="A59">
        <v>4058</v>
      </c>
      <c r="B59" t="s">
        <v>104</v>
      </c>
      <c r="C59" t="s">
        <v>316</v>
      </c>
      <c r="D59" t="s">
        <v>317</v>
      </c>
      <c r="E59" t="s">
        <v>105</v>
      </c>
      <c r="F59" t="s">
        <v>829</v>
      </c>
      <c r="G59" t="s">
        <v>179</v>
      </c>
      <c r="H59">
        <v>0</v>
      </c>
      <c r="I59">
        <v>0</v>
      </c>
      <c r="J59" t="s">
        <v>106</v>
      </c>
      <c r="K59" t="s">
        <v>106</v>
      </c>
      <c r="N59" s="9">
        <v>46127</v>
      </c>
      <c r="O59">
        <v>10645</v>
      </c>
      <c r="P59">
        <v>1</v>
      </c>
      <c r="Q59">
        <v>2</v>
      </c>
      <c r="R59" t="s">
        <v>86</v>
      </c>
      <c r="S59" t="s">
        <v>87</v>
      </c>
      <c r="T59" t="s">
        <v>182</v>
      </c>
      <c r="U59" t="s">
        <v>830</v>
      </c>
      <c r="V59">
        <v>2026</v>
      </c>
      <c r="W59">
        <v>2026</v>
      </c>
      <c r="X59" t="s">
        <v>107</v>
      </c>
      <c r="Y59">
        <v>0</v>
      </c>
      <c r="Z59">
        <v>0</v>
      </c>
      <c r="AA59">
        <v>0</v>
      </c>
      <c r="AB59" t="s">
        <v>184</v>
      </c>
      <c r="AC59">
        <v>85</v>
      </c>
      <c r="AD59">
        <v>104702</v>
      </c>
      <c r="AE59" t="s">
        <v>108</v>
      </c>
      <c r="AF59">
        <v>2105.8200000000002</v>
      </c>
      <c r="AG59">
        <v>5824.6</v>
      </c>
      <c r="AH59">
        <v>0</v>
      </c>
      <c r="AI59">
        <v>150000</v>
      </c>
      <c r="AJ59">
        <v>0</v>
      </c>
      <c r="AK59">
        <v>150000</v>
      </c>
      <c r="AL59">
        <v>10000</v>
      </c>
      <c r="AM59">
        <v>10000</v>
      </c>
      <c r="AN59">
        <v>601.66</v>
      </c>
      <c r="AO59">
        <v>0</v>
      </c>
      <c r="AP59">
        <v>150.41999999999999</v>
      </c>
      <c r="AQ59">
        <v>75.209999999999994</v>
      </c>
      <c r="AR59">
        <v>75.209999999999994</v>
      </c>
      <c r="AS59" t="s">
        <v>86</v>
      </c>
      <c r="AT59" t="s">
        <v>86</v>
      </c>
      <c r="AU59">
        <v>0</v>
      </c>
      <c r="AV59">
        <v>0</v>
      </c>
    </row>
    <row r="60" spans="1:48" x14ac:dyDescent="0.3">
      <c r="A60">
        <v>4059</v>
      </c>
      <c r="B60" t="s">
        <v>104</v>
      </c>
      <c r="C60" t="s">
        <v>318</v>
      </c>
      <c r="D60" t="s">
        <v>319</v>
      </c>
      <c r="E60" t="s">
        <v>105</v>
      </c>
      <c r="F60" t="s">
        <v>829</v>
      </c>
      <c r="G60" t="s">
        <v>179</v>
      </c>
      <c r="H60">
        <v>0</v>
      </c>
      <c r="I60">
        <v>0</v>
      </c>
      <c r="J60" t="s">
        <v>106</v>
      </c>
      <c r="K60" t="s">
        <v>106</v>
      </c>
      <c r="N60" s="9">
        <v>46127</v>
      </c>
      <c r="O60">
        <v>10645</v>
      </c>
      <c r="P60">
        <v>1</v>
      </c>
      <c r="Q60">
        <v>3</v>
      </c>
      <c r="R60" t="s">
        <v>86</v>
      </c>
      <c r="S60" t="s">
        <v>87</v>
      </c>
      <c r="T60" t="s">
        <v>182</v>
      </c>
      <c r="U60" t="s">
        <v>830</v>
      </c>
      <c r="V60">
        <v>2026</v>
      </c>
      <c r="W60">
        <v>2026</v>
      </c>
      <c r="X60" t="s">
        <v>107</v>
      </c>
      <c r="Y60">
        <v>0</v>
      </c>
      <c r="Z60">
        <v>0</v>
      </c>
      <c r="AA60">
        <v>0</v>
      </c>
      <c r="AB60" t="s">
        <v>184</v>
      </c>
      <c r="AC60">
        <v>85</v>
      </c>
      <c r="AD60">
        <v>104702</v>
      </c>
      <c r="AE60" t="s">
        <v>108</v>
      </c>
      <c r="AF60">
        <v>2105.8200000000002</v>
      </c>
      <c r="AG60">
        <v>5824.6</v>
      </c>
      <c r="AH60">
        <v>0</v>
      </c>
      <c r="AI60">
        <v>150000</v>
      </c>
      <c r="AJ60">
        <v>0</v>
      </c>
      <c r="AK60">
        <v>150000</v>
      </c>
      <c r="AL60">
        <v>10000</v>
      </c>
      <c r="AM60">
        <v>10000</v>
      </c>
      <c r="AN60">
        <v>601.66</v>
      </c>
      <c r="AO60">
        <v>0</v>
      </c>
      <c r="AP60">
        <v>150.41999999999999</v>
      </c>
      <c r="AQ60">
        <v>75.209999999999994</v>
      </c>
      <c r="AR60">
        <v>75.209999999999994</v>
      </c>
      <c r="AS60" t="s">
        <v>86</v>
      </c>
      <c r="AT60" t="s">
        <v>86</v>
      </c>
      <c r="AU60">
        <v>0</v>
      </c>
      <c r="AV60">
        <v>0</v>
      </c>
    </row>
    <row r="61" spans="1:48" x14ac:dyDescent="0.3">
      <c r="A61">
        <v>4060</v>
      </c>
      <c r="B61" t="s">
        <v>104</v>
      </c>
      <c r="C61" t="s">
        <v>320</v>
      </c>
      <c r="D61" t="s">
        <v>321</v>
      </c>
      <c r="E61" t="s">
        <v>105</v>
      </c>
      <c r="F61" t="s">
        <v>829</v>
      </c>
      <c r="G61" t="s">
        <v>179</v>
      </c>
      <c r="H61">
        <v>0</v>
      </c>
      <c r="I61">
        <v>0</v>
      </c>
      <c r="J61" t="s">
        <v>106</v>
      </c>
      <c r="K61" t="s">
        <v>106</v>
      </c>
      <c r="N61" s="9">
        <v>46127</v>
      </c>
      <c r="O61">
        <v>10645</v>
      </c>
      <c r="P61">
        <v>1</v>
      </c>
      <c r="Q61">
        <v>4</v>
      </c>
      <c r="R61" t="s">
        <v>86</v>
      </c>
      <c r="S61" t="s">
        <v>87</v>
      </c>
      <c r="T61" t="s">
        <v>182</v>
      </c>
      <c r="U61" t="s">
        <v>830</v>
      </c>
      <c r="V61">
        <v>2026</v>
      </c>
      <c r="W61">
        <v>2026</v>
      </c>
      <c r="X61" t="s">
        <v>107</v>
      </c>
      <c r="Y61">
        <v>0</v>
      </c>
      <c r="Z61">
        <v>0</v>
      </c>
      <c r="AA61">
        <v>0</v>
      </c>
      <c r="AB61" t="s">
        <v>184</v>
      </c>
      <c r="AC61">
        <v>85</v>
      </c>
      <c r="AD61">
        <v>104702</v>
      </c>
      <c r="AE61" t="s">
        <v>108</v>
      </c>
      <c r="AF61">
        <v>2105.8200000000002</v>
      </c>
      <c r="AG61">
        <v>5824.6</v>
      </c>
      <c r="AH61">
        <v>0</v>
      </c>
      <c r="AI61">
        <v>150000</v>
      </c>
      <c r="AJ61">
        <v>0</v>
      </c>
      <c r="AK61">
        <v>150000</v>
      </c>
      <c r="AL61">
        <v>10000</v>
      </c>
      <c r="AM61">
        <v>10000</v>
      </c>
      <c r="AN61">
        <v>601.66</v>
      </c>
      <c r="AO61">
        <v>0</v>
      </c>
      <c r="AP61">
        <v>150.41999999999999</v>
      </c>
      <c r="AQ61">
        <v>75.209999999999994</v>
      </c>
      <c r="AR61">
        <v>75.209999999999994</v>
      </c>
      <c r="AS61" t="s">
        <v>86</v>
      </c>
      <c r="AT61" t="s">
        <v>86</v>
      </c>
      <c r="AU61">
        <v>0</v>
      </c>
      <c r="AV61">
        <v>0</v>
      </c>
    </row>
    <row r="62" spans="1:48" x14ac:dyDescent="0.3">
      <c r="A62">
        <v>4061</v>
      </c>
      <c r="B62" t="s">
        <v>104</v>
      </c>
      <c r="C62" t="s">
        <v>322</v>
      </c>
      <c r="D62" t="s">
        <v>323</v>
      </c>
      <c r="E62" t="s">
        <v>105</v>
      </c>
      <c r="F62" t="s">
        <v>97</v>
      </c>
      <c r="G62" t="s">
        <v>98</v>
      </c>
      <c r="H62">
        <v>0</v>
      </c>
      <c r="I62">
        <v>0</v>
      </c>
      <c r="J62" t="s">
        <v>106</v>
      </c>
      <c r="K62" t="s">
        <v>106</v>
      </c>
      <c r="N62" s="9">
        <v>46127</v>
      </c>
      <c r="O62">
        <v>10420</v>
      </c>
      <c r="P62">
        <v>9</v>
      </c>
      <c r="Q62">
        <v>112</v>
      </c>
      <c r="R62" t="s">
        <v>86</v>
      </c>
      <c r="S62" t="s">
        <v>87</v>
      </c>
      <c r="T62" t="s">
        <v>99</v>
      </c>
      <c r="U62" t="s">
        <v>116</v>
      </c>
      <c r="V62">
        <v>2026</v>
      </c>
      <c r="W62">
        <v>2026</v>
      </c>
      <c r="X62" t="s">
        <v>107</v>
      </c>
      <c r="Y62">
        <v>0</v>
      </c>
      <c r="Z62">
        <v>0</v>
      </c>
      <c r="AA62">
        <v>0</v>
      </c>
      <c r="AB62" t="s">
        <v>101</v>
      </c>
      <c r="AC62">
        <v>85</v>
      </c>
      <c r="AD62">
        <v>133248</v>
      </c>
      <c r="AE62" t="s">
        <v>117</v>
      </c>
      <c r="AF62">
        <v>1675.54</v>
      </c>
      <c r="AG62">
        <v>7049</v>
      </c>
      <c r="AH62">
        <v>0</v>
      </c>
      <c r="AI62">
        <v>1000000</v>
      </c>
      <c r="AJ62">
        <v>200000</v>
      </c>
      <c r="AK62">
        <v>1000000</v>
      </c>
      <c r="AL62">
        <v>10000</v>
      </c>
      <c r="AM62">
        <v>10000</v>
      </c>
      <c r="AN62">
        <v>450.37</v>
      </c>
      <c r="AO62">
        <v>450.37</v>
      </c>
      <c r="AP62">
        <v>112.59</v>
      </c>
      <c r="AQ62">
        <v>56.3</v>
      </c>
      <c r="AR62">
        <v>56.3</v>
      </c>
      <c r="AS62" t="s">
        <v>86</v>
      </c>
      <c r="AT62" t="s">
        <v>86</v>
      </c>
      <c r="AU62">
        <v>0</v>
      </c>
      <c r="AV62">
        <v>0</v>
      </c>
    </row>
    <row r="63" spans="1:48" x14ac:dyDescent="0.3">
      <c r="A63">
        <v>4062</v>
      </c>
      <c r="B63" t="s">
        <v>104</v>
      </c>
      <c r="C63" t="s">
        <v>324</v>
      </c>
      <c r="D63" t="s">
        <v>325</v>
      </c>
      <c r="E63" t="s">
        <v>105</v>
      </c>
      <c r="F63" t="s">
        <v>97</v>
      </c>
      <c r="G63" t="s">
        <v>98</v>
      </c>
      <c r="H63">
        <v>0</v>
      </c>
      <c r="I63">
        <v>0</v>
      </c>
      <c r="J63" t="s">
        <v>106</v>
      </c>
      <c r="K63" t="s">
        <v>106</v>
      </c>
      <c r="N63" s="9">
        <v>46127</v>
      </c>
      <c r="O63">
        <v>10420</v>
      </c>
      <c r="P63">
        <v>8</v>
      </c>
      <c r="Q63">
        <v>34</v>
      </c>
      <c r="R63" t="s">
        <v>86</v>
      </c>
      <c r="S63" t="s">
        <v>87</v>
      </c>
      <c r="T63" t="s">
        <v>102</v>
      </c>
      <c r="U63" t="s">
        <v>118</v>
      </c>
      <c r="V63">
        <v>2025</v>
      </c>
      <c r="W63">
        <v>2026</v>
      </c>
      <c r="X63" t="s">
        <v>107</v>
      </c>
      <c r="Y63">
        <v>0</v>
      </c>
      <c r="Z63">
        <v>0</v>
      </c>
      <c r="AA63">
        <v>0</v>
      </c>
      <c r="AB63" t="s">
        <v>101</v>
      </c>
      <c r="AC63">
        <v>85</v>
      </c>
      <c r="AD63">
        <v>112451</v>
      </c>
      <c r="AE63" t="s">
        <v>117</v>
      </c>
      <c r="AF63">
        <v>1675.54</v>
      </c>
      <c r="AG63">
        <v>7049</v>
      </c>
      <c r="AH63">
        <v>0</v>
      </c>
      <c r="AI63">
        <v>1000000</v>
      </c>
      <c r="AJ63">
        <v>200000</v>
      </c>
      <c r="AK63">
        <v>1000000</v>
      </c>
      <c r="AL63">
        <v>10000</v>
      </c>
      <c r="AM63">
        <v>10000</v>
      </c>
      <c r="AN63">
        <v>450.37</v>
      </c>
      <c r="AO63">
        <v>450.37</v>
      </c>
      <c r="AP63">
        <v>112.59</v>
      </c>
      <c r="AQ63">
        <v>56.3</v>
      </c>
      <c r="AR63">
        <v>56.3</v>
      </c>
      <c r="AS63" t="s">
        <v>86</v>
      </c>
      <c r="AT63" t="s">
        <v>86</v>
      </c>
      <c r="AU63">
        <v>0</v>
      </c>
      <c r="AV63">
        <v>0</v>
      </c>
    </row>
    <row r="64" spans="1:48" x14ac:dyDescent="0.3">
      <c r="A64">
        <v>4063</v>
      </c>
      <c r="B64" t="s">
        <v>104</v>
      </c>
      <c r="C64" t="s">
        <v>326</v>
      </c>
      <c r="D64" t="s">
        <v>327</v>
      </c>
      <c r="E64" t="s">
        <v>105</v>
      </c>
      <c r="F64" t="s">
        <v>97</v>
      </c>
      <c r="G64" t="s">
        <v>98</v>
      </c>
      <c r="H64">
        <v>0</v>
      </c>
      <c r="I64">
        <v>0</v>
      </c>
      <c r="J64" t="s">
        <v>106</v>
      </c>
      <c r="K64" t="s">
        <v>106</v>
      </c>
      <c r="N64" s="9">
        <v>46127</v>
      </c>
      <c r="O64">
        <v>10420</v>
      </c>
      <c r="P64">
        <v>9</v>
      </c>
      <c r="Q64">
        <v>113</v>
      </c>
      <c r="R64" t="s">
        <v>86</v>
      </c>
      <c r="S64" t="s">
        <v>87</v>
      </c>
      <c r="T64" t="s">
        <v>99</v>
      </c>
      <c r="U64" t="s">
        <v>116</v>
      </c>
      <c r="V64">
        <v>2026</v>
      </c>
      <c r="W64">
        <v>2026</v>
      </c>
      <c r="X64" t="s">
        <v>107</v>
      </c>
      <c r="Y64">
        <v>0</v>
      </c>
      <c r="Z64">
        <v>0</v>
      </c>
      <c r="AA64">
        <v>0</v>
      </c>
      <c r="AB64" t="s">
        <v>101</v>
      </c>
      <c r="AC64">
        <v>85</v>
      </c>
      <c r="AD64">
        <v>133248</v>
      </c>
      <c r="AE64" t="s">
        <v>117</v>
      </c>
      <c r="AF64">
        <v>1675.54</v>
      </c>
      <c r="AG64">
        <v>7049</v>
      </c>
      <c r="AH64">
        <v>0</v>
      </c>
      <c r="AI64">
        <v>1000000</v>
      </c>
      <c r="AJ64">
        <v>200000</v>
      </c>
      <c r="AK64">
        <v>1000000</v>
      </c>
      <c r="AL64">
        <v>10000</v>
      </c>
      <c r="AM64">
        <v>10000</v>
      </c>
      <c r="AN64">
        <v>450.37</v>
      </c>
      <c r="AO64">
        <v>450.37</v>
      </c>
      <c r="AP64">
        <v>112.59</v>
      </c>
      <c r="AQ64">
        <v>56.3</v>
      </c>
      <c r="AR64">
        <v>56.3</v>
      </c>
      <c r="AS64" t="s">
        <v>86</v>
      </c>
      <c r="AT64" t="s">
        <v>86</v>
      </c>
      <c r="AU64">
        <v>0</v>
      </c>
      <c r="AV64">
        <v>0</v>
      </c>
    </row>
    <row r="65" spans="1:48" x14ac:dyDescent="0.3">
      <c r="A65">
        <v>4071</v>
      </c>
      <c r="B65" t="s">
        <v>104</v>
      </c>
      <c r="C65" t="s">
        <v>328</v>
      </c>
      <c r="D65" t="s">
        <v>329</v>
      </c>
      <c r="E65" t="s">
        <v>105</v>
      </c>
      <c r="F65" t="s">
        <v>149</v>
      </c>
      <c r="G65" t="s">
        <v>150</v>
      </c>
      <c r="H65">
        <v>0</v>
      </c>
      <c r="I65">
        <v>0</v>
      </c>
      <c r="J65" t="s">
        <v>106</v>
      </c>
      <c r="K65" t="s">
        <v>106</v>
      </c>
      <c r="N65" s="9">
        <v>46132</v>
      </c>
      <c r="O65">
        <v>10681</v>
      </c>
      <c r="P65">
        <v>1</v>
      </c>
      <c r="Q65">
        <v>6</v>
      </c>
      <c r="R65" t="s">
        <v>86</v>
      </c>
      <c r="S65" t="s">
        <v>87</v>
      </c>
      <c r="T65" t="s">
        <v>89</v>
      </c>
      <c r="U65" t="s">
        <v>834</v>
      </c>
      <c r="V65">
        <v>2026</v>
      </c>
      <c r="W65">
        <v>2026</v>
      </c>
      <c r="X65" t="s">
        <v>107</v>
      </c>
      <c r="Y65">
        <v>0</v>
      </c>
      <c r="Z65">
        <v>0</v>
      </c>
      <c r="AA65">
        <v>0</v>
      </c>
      <c r="AB65" t="s">
        <v>88</v>
      </c>
      <c r="AC65">
        <v>85</v>
      </c>
      <c r="AD65">
        <v>84669</v>
      </c>
      <c r="AE65" t="s">
        <v>108</v>
      </c>
      <c r="AF65">
        <v>1825.9</v>
      </c>
      <c r="AG65">
        <v>5050.3500000000004</v>
      </c>
      <c r="AH65">
        <v>0</v>
      </c>
      <c r="AI65">
        <v>150000</v>
      </c>
      <c r="AJ65">
        <v>0</v>
      </c>
      <c r="AK65">
        <v>150000</v>
      </c>
      <c r="AL65">
        <v>10000</v>
      </c>
      <c r="AM65">
        <v>10000</v>
      </c>
      <c r="AN65">
        <v>521.69000000000005</v>
      </c>
      <c r="AO65">
        <v>0</v>
      </c>
      <c r="AP65">
        <v>130.41999999999999</v>
      </c>
      <c r="AQ65">
        <v>65.209999999999994</v>
      </c>
      <c r="AR65">
        <v>65.209999999999994</v>
      </c>
      <c r="AS65" t="s">
        <v>86</v>
      </c>
      <c r="AT65" t="s">
        <v>86</v>
      </c>
      <c r="AU65">
        <v>0</v>
      </c>
      <c r="AV65">
        <v>0</v>
      </c>
    </row>
    <row r="66" spans="1:48" x14ac:dyDescent="0.3">
      <c r="A66">
        <v>4072</v>
      </c>
      <c r="B66" t="s">
        <v>104</v>
      </c>
      <c r="C66" t="s">
        <v>332</v>
      </c>
      <c r="D66" t="s">
        <v>333</v>
      </c>
      <c r="E66" t="s">
        <v>105</v>
      </c>
      <c r="F66" t="s">
        <v>330</v>
      </c>
      <c r="G66" t="s">
        <v>331</v>
      </c>
      <c r="H66">
        <v>0</v>
      </c>
      <c r="I66">
        <v>0</v>
      </c>
      <c r="J66" t="s">
        <v>106</v>
      </c>
      <c r="K66" t="s">
        <v>106</v>
      </c>
      <c r="N66" s="9">
        <v>46132</v>
      </c>
      <c r="O66">
        <v>10668</v>
      </c>
      <c r="P66">
        <v>1</v>
      </c>
      <c r="Q66">
        <v>1</v>
      </c>
      <c r="R66" t="s">
        <v>86</v>
      </c>
      <c r="S66" t="s">
        <v>87</v>
      </c>
      <c r="T66" t="s">
        <v>123</v>
      </c>
      <c r="U66" t="s">
        <v>835</v>
      </c>
      <c r="V66">
        <v>2025</v>
      </c>
      <c r="W66">
        <v>2025</v>
      </c>
      <c r="X66" t="s">
        <v>112</v>
      </c>
      <c r="Y66">
        <v>0</v>
      </c>
      <c r="Z66">
        <v>0</v>
      </c>
      <c r="AA66">
        <v>0</v>
      </c>
      <c r="AB66" t="s">
        <v>125</v>
      </c>
      <c r="AC66">
        <v>85</v>
      </c>
      <c r="AD66">
        <v>431520</v>
      </c>
      <c r="AE66" t="s">
        <v>113</v>
      </c>
      <c r="AF66">
        <v>2783.8</v>
      </c>
      <c r="AG66">
        <v>17499.5</v>
      </c>
      <c r="AH66">
        <v>0</v>
      </c>
      <c r="AI66">
        <v>300000</v>
      </c>
      <c r="AJ66">
        <v>0</v>
      </c>
      <c r="AK66">
        <v>300000</v>
      </c>
      <c r="AL66">
        <v>10000</v>
      </c>
      <c r="AM66">
        <v>10000</v>
      </c>
      <c r="AN66">
        <v>795.37</v>
      </c>
      <c r="AO66">
        <v>0</v>
      </c>
      <c r="AP66">
        <v>198.84</v>
      </c>
      <c r="AQ66">
        <v>99.42</v>
      </c>
      <c r="AR66">
        <v>99.42</v>
      </c>
      <c r="AS66" t="s">
        <v>86</v>
      </c>
      <c r="AT66" t="s">
        <v>86</v>
      </c>
      <c r="AU66">
        <v>0</v>
      </c>
      <c r="AV66">
        <v>0</v>
      </c>
    </row>
    <row r="67" spans="1:48" x14ac:dyDescent="0.3">
      <c r="A67">
        <v>4073</v>
      </c>
      <c r="B67" t="s">
        <v>104</v>
      </c>
      <c r="C67" t="s">
        <v>334</v>
      </c>
      <c r="D67" t="s">
        <v>335</v>
      </c>
      <c r="E67" t="s">
        <v>110</v>
      </c>
      <c r="F67" t="s">
        <v>220</v>
      </c>
      <c r="G67" t="s">
        <v>221</v>
      </c>
      <c r="H67">
        <v>0</v>
      </c>
      <c r="I67">
        <v>0</v>
      </c>
      <c r="J67" t="s">
        <v>106</v>
      </c>
      <c r="K67" t="s">
        <v>106</v>
      </c>
      <c r="N67" s="9">
        <v>46132</v>
      </c>
      <c r="O67">
        <v>10632</v>
      </c>
      <c r="P67">
        <v>1</v>
      </c>
      <c r="Q67">
        <v>1</v>
      </c>
      <c r="R67" t="s">
        <v>86</v>
      </c>
      <c r="S67" t="s">
        <v>87</v>
      </c>
      <c r="T67" t="s">
        <v>91</v>
      </c>
      <c r="U67" t="s">
        <v>836</v>
      </c>
      <c r="V67">
        <v>2024</v>
      </c>
      <c r="W67">
        <v>2024</v>
      </c>
      <c r="X67" t="s">
        <v>112</v>
      </c>
      <c r="Y67">
        <v>0</v>
      </c>
      <c r="Z67">
        <v>0</v>
      </c>
      <c r="AA67">
        <v>0</v>
      </c>
      <c r="AB67" t="s">
        <v>93</v>
      </c>
      <c r="AC67">
        <v>85</v>
      </c>
      <c r="AD67">
        <v>450414</v>
      </c>
      <c r="AE67" t="s">
        <v>113</v>
      </c>
      <c r="AF67">
        <v>3915.72</v>
      </c>
      <c r="AG67">
        <v>24615</v>
      </c>
      <c r="AH67">
        <v>0</v>
      </c>
      <c r="AI67">
        <v>300000</v>
      </c>
      <c r="AJ67">
        <v>0</v>
      </c>
      <c r="AK67">
        <v>300000</v>
      </c>
      <c r="AL67">
        <v>10000</v>
      </c>
      <c r="AM67">
        <v>10000</v>
      </c>
      <c r="AN67">
        <v>1118.78</v>
      </c>
      <c r="AO67">
        <v>0</v>
      </c>
      <c r="AP67">
        <v>279.69</v>
      </c>
      <c r="AQ67">
        <v>139.85</v>
      </c>
      <c r="AR67">
        <v>139.85</v>
      </c>
      <c r="AS67" t="s">
        <v>86</v>
      </c>
      <c r="AT67" t="s">
        <v>86</v>
      </c>
      <c r="AU67">
        <v>0</v>
      </c>
      <c r="AV67">
        <v>0</v>
      </c>
    </row>
    <row r="68" spans="1:48" x14ac:dyDescent="0.3">
      <c r="A68">
        <v>4074</v>
      </c>
      <c r="B68" t="s">
        <v>104</v>
      </c>
      <c r="C68" t="s">
        <v>336</v>
      </c>
      <c r="D68" t="s">
        <v>337</v>
      </c>
      <c r="E68" t="s">
        <v>105</v>
      </c>
      <c r="F68" t="s">
        <v>97</v>
      </c>
      <c r="G68" t="s">
        <v>98</v>
      </c>
      <c r="H68">
        <v>0</v>
      </c>
      <c r="I68">
        <v>0</v>
      </c>
      <c r="J68" t="s">
        <v>106</v>
      </c>
      <c r="K68" t="s">
        <v>106</v>
      </c>
      <c r="N68" s="9">
        <v>46134</v>
      </c>
      <c r="O68">
        <v>10420</v>
      </c>
      <c r="P68">
        <v>9</v>
      </c>
      <c r="Q68">
        <v>114</v>
      </c>
      <c r="R68" t="s">
        <v>86</v>
      </c>
      <c r="S68" t="s">
        <v>87</v>
      </c>
      <c r="T68" t="s">
        <v>99</v>
      </c>
      <c r="U68" t="s">
        <v>837</v>
      </c>
      <c r="V68">
        <v>2026</v>
      </c>
      <c r="W68">
        <v>2026</v>
      </c>
      <c r="X68" t="s">
        <v>107</v>
      </c>
      <c r="Y68">
        <v>0</v>
      </c>
      <c r="Z68">
        <v>0</v>
      </c>
      <c r="AA68">
        <v>0</v>
      </c>
      <c r="AB68" t="s">
        <v>101</v>
      </c>
      <c r="AC68">
        <v>85</v>
      </c>
      <c r="AD68">
        <v>133248</v>
      </c>
      <c r="AE68" t="s">
        <v>117</v>
      </c>
      <c r="AF68">
        <v>1675.54</v>
      </c>
      <c r="AG68">
        <v>7049</v>
      </c>
      <c r="AH68">
        <v>0</v>
      </c>
      <c r="AI68">
        <v>1000000</v>
      </c>
      <c r="AJ68">
        <v>200000</v>
      </c>
      <c r="AK68">
        <v>1000000</v>
      </c>
      <c r="AL68">
        <v>10000</v>
      </c>
      <c r="AM68">
        <v>10000</v>
      </c>
      <c r="AN68">
        <v>450.37</v>
      </c>
      <c r="AO68">
        <v>450.37</v>
      </c>
      <c r="AP68">
        <v>112.59</v>
      </c>
      <c r="AQ68">
        <v>56.3</v>
      </c>
      <c r="AR68">
        <v>56.3</v>
      </c>
      <c r="AS68" t="s">
        <v>86</v>
      </c>
      <c r="AT68" t="s">
        <v>86</v>
      </c>
      <c r="AU68">
        <v>0</v>
      </c>
      <c r="AV68">
        <v>0</v>
      </c>
    </row>
    <row r="69" spans="1:48" x14ac:dyDescent="0.3">
      <c r="A69">
        <v>4075</v>
      </c>
      <c r="B69" t="s">
        <v>104</v>
      </c>
      <c r="C69" t="s">
        <v>338</v>
      </c>
      <c r="D69" t="s">
        <v>339</v>
      </c>
      <c r="E69" t="s">
        <v>105</v>
      </c>
      <c r="F69" t="s">
        <v>97</v>
      </c>
      <c r="G69" t="s">
        <v>98</v>
      </c>
      <c r="H69">
        <v>0</v>
      </c>
      <c r="I69">
        <v>0</v>
      </c>
      <c r="J69" t="s">
        <v>106</v>
      </c>
      <c r="K69" t="s">
        <v>106</v>
      </c>
      <c r="N69" s="9">
        <v>46134</v>
      </c>
      <c r="O69">
        <v>10420</v>
      </c>
      <c r="P69">
        <v>9</v>
      </c>
      <c r="Q69">
        <v>115</v>
      </c>
      <c r="R69" t="s">
        <v>86</v>
      </c>
      <c r="S69" t="s">
        <v>87</v>
      </c>
      <c r="T69" t="s">
        <v>99</v>
      </c>
      <c r="U69" t="s">
        <v>837</v>
      </c>
      <c r="V69">
        <v>2026</v>
      </c>
      <c r="W69">
        <v>2026</v>
      </c>
      <c r="X69" t="s">
        <v>107</v>
      </c>
      <c r="Y69">
        <v>0</v>
      </c>
      <c r="Z69">
        <v>0</v>
      </c>
      <c r="AA69">
        <v>0</v>
      </c>
      <c r="AB69" t="s">
        <v>101</v>
      </c>
      <c r="AC69">
        <v>85</v>
      </c>
      <c r="AD69">
        <v>133248</v>
      </c>
      <c r="AE69" t="s">
        <v>117</v>
      </c>
      <c r="AF69">
        <v>1675.54</v>
      </c>
      <c r="AG69">
        <v>7049</v>
      </c>
      <c r="AH69">
        <v>0</v>
      </c>
      <c r="AI69">
        <v>1000000</v>
      </c>
      <c r="AJ69">
        <v>200000</v>
      </c>
      <c r="AK69">
        <v>1000000</v>
      </c>
      <c r="AL69">
        <v>10000</v>
      </c>
      <c r="AM69">
        <v>10000</v>
      </c>
      <c r="AN69">
        <v>450.37</v>
      </c>
      <c r="AO69">
        <v>450.37</v>
      </c>
      <c r="AP69">
        <v>112.59</v>
      </c>
      <c r="AQ69">
        <v>56.3</v>
      </c>
      <c r="AR69">
        <v>56.3</v>
      </c>
      <c r="AS69" t="s">
        <v>86</v>
      </c>
      <c r="AT69" t="s">
        <v>86</v>
      </c>
      <c r="AU69">
        <v>0</v>
      </c>
      <c r="AV69">
        <v>0</v>
      </c>
    </row>
    <row r="70" spans="1:48" x14ac:dyDescent="0.3">
      <c r="A70">
        <v>4076</v>
      </c>
      <c r="B70" t="s">
        <v>104</v>
      </c>
      <c r="C70" t="s">
        <v>340</v>
      </c>
      <c r="D70" t="s">
        <v>341</v>
      </c>
      <c r="E70" t="s">
        <v>105</v>
      </c>
      <c r="F70" t="s">
        <v>97</v>
      </c>
      <c r="G70" t="s">
        <v>98</v>
      </c>
      <c r="H70">
        <v>0</v>
      </c>
      <c r="I70">
        <v>0</v>
      </c>
      <c r="J70" t="s">
        <v>106</v>
      </c>
      <c r="K70" t="s">
        <v>106</v>
      </c>
      <c r="N70" s="9">
        <v>46134</v>
      </c>
      <c r="O70">
        <v>10420</v>
      </c>
      <c r="P70">
        <v>9</v>
      </c>
      <c r="Q70">
        <v>116</v>
      </c>
      <c r="R70" t="s">
        <v>86</v>
      </c>
      <c r="S70" t="s">
        <v>87</v>
      </c>
      <c r="T70" t="s">
        <v>99</v>
      </c>
      <c r="U70" t="s">
        <v>837</v>
      </c>
      <c r="V70">
        <v>2026</v>
      </c>
      <c r="W70">
        <v>2026</v>
      </c>
      <c r="X70" t="s">
        <v>107</v>
      </c>
      <c r="Y70">
        <v>0</v>
      </c>
      <c r="Z70">
        <v>0</v>
      </c>
      <c r="AA70">
        <v>0</v>
      </c>
      <c r="AB70" t="s">
        <v>101</v>
      </c>
      <c r="AC70">
        <v>85</v>
      </c>
      <c r="AD70">
        <v>133248</v>
      </c>
      <c r="AE70" t="s">
        <v>117</v>
      </c>
      <c r="AF70">
        <v>1675.54</v>
      </c>
      <c r="AG70">
        <v>7049</v>
      </c>
      <c r="AH70">
        <v>0</v>
      </c>
      <c r="AI70">
        <v>1000000</v>
      </c>
      <c r="AJ70">
        <v>200000</v>
      </c>
      <c r="AK70">
        <v>1000000</v>
      </c>
      <c r="AL70">
        <v>10000</v>
      </c>
      <c r="AM70">
        <v>10000</v>
      </c>
      <c r="AN70">
        <v>450.37</v>
      </c>
      <c r="AO70">
        <v>450.37</v>
      </c>
      <c r="AP70">
        <v>112.59</v>
      </c>
      <c r="AQ70">
        <v>56.3</v>
      </c>
      <c r="AR70">
        <v>56.3</v>
      </c>
      <c r="AS70" t="s">
        <v>86</v>
      </c>
      <c r="AT70" t="s">
        <v>86</v>
      </c>
      <c r="AU70">
        <v>0</v>
      </c>
      <c r="AV70">
        <v>0</v>
      </c>
    </row>
    <row r="71" spans="1:48" x14ac:dyDescent="0.3">
      <c r="A71">
        <v>4077</v>
      </c>
      <c r="B71" t="s">
        <v>104</v>
      </c>
      <c r="C71" t="s">
        <v>342</v>
      </c>
      <c r="D71" t="s">
        <v>343</v>
      </c>
      <c r="E71" t="s">
        <v>105</v>
      </c>
      <c r="F71" t="s">
        <v>97</v>
      </c>
      <c r="G71" t="s">
        <v>98</v>
      </c>
      <c r="H71">
        <v>0</v>
      </c>
      <c r="I71">
        <v>0</v>
      </c>
      <c r="J71" t="s">
        <v>106</v>
      </c>
      <c r="K71" t="s">
        <v>106</v>
      </c>
      <c r="N71" s="9">
        <v>46134</v>
      </c>
      <c r="O71">
        <v>10420</v>
      </c>
      <c r="P71">
        <v>9</v>
      </c>
      <c r="Q71">
        <v>117</v>
      </c>
      <c r="R71" t="s">
        <v>86</v>
      </c>
      <c r="S71" t="s">
        <v>87</v>
      </c>
      <c r="T71" t="s">
        <v>99</v>
      </c>
      <c r="U71" t="s">
        <v>837</v>
      </c>
      <c r="V71">
        <v>2026</v>
      </c>
      <c r="W71">
        <v>2026</v>
      </c>
      <c r="X71" t="s">
        <v>107</v>
      </c>
      <c r="Y71">
        <v>0</v>
      </c>
      <c r="Z71">
        <v>0</v>
      </c>
      <c r="AA71">
        <v>0</v>
      </c>
      <c r="AB71" t="s">
        <v>101</v>
      </c>
      <c r="AC71">
        <v>85</v>
      </c>
      <c r="AD71">
        <v>133248</v>
      </c>
      <c r="AE71" t="s">
        <v>117</v>
      </c>
      <c r="AF71">
        <v>1675.54</v>
      </c>
      <c r="AG71">
        <v>7049</v>
      </c>
      <c r="AH71">
        <v>0</v>
      </c>
      <c r="AI71">
        <v>1000000</v>
      </c>
      <c r="AJ71">
        <v>200000</v>
      </c>
      <c r="AK71">
        <v>1000000</v>
      </c>
      <c r="AL71">
        <v>10000</v>
      </c>
      <c r="AM71">
        <v>10000</v>
      </c>
      <c r="AN71">
        <v>450.37</v>
      </c>
      <c r="AO71">
        <v>450.37</v>
      </c>
      <c r="AP71">
        <v>112.59</v>
      </c>
      <c r="AQ71">
        <v>56.3</v>
      </c>
      <c r="AR71">
        <v>56.3</v>
      </c>
      <c r="AS71" t="s">
        <v>86</v>
      </c>
      <c r="AT71" t="s">
        <v>86</v>
      </c>
      <c r="AU71">
        <v>0</v>
      </c>
      <c r="AV71">
        <v>0</v>
      </c>
    </row>
    <row r="72" spans="1:48" x14ac:dyDescent="0.3">
      <c r="A72">
        <v>4078</v>
      </c>
      <c r="B72" t="s">
        <v>104</v>
      </c>
      <c r="C72" t="s">
        <v>344</v>
      </c>
      <c r="D72" t="s">
        <v>345</v>
      </c>
      <c r="E72" t="s">
        <v>105</v>
      </c>
      <c r="F72" t="s">
        <v>97</v>
      </c>
      <c r="G72" t="s">
        <v>98</v>
      </c>
      <c r="H72">
        <v>0</v>
      </c>
      <c r="I72">
        <v>0</v>
      </c>
      <c r="J72" t="s">
        <v>106</v>
      </c>
      <c r="K72" t="s">
        <v>106</v>
      </c>
      <c r="N72" s="9">
        <v>46134</v>
      </c>
      <c r="O72">
        <v>10420</v>
      </c>
      <c r="P72">
        <v>9</v>
      </c>
      <c r="Q72">
        <v>118</v>
      </c>
      <c r="R72" t="s">
        <v>86</v>
      </c>
      <c r="S72" t="s">
        <v>87</v>
      </c>
      <c r="T72" t="s">
        <v>99</v>
      </c>
      <c r="U72" t="s">
        <v>837</v>
      </c>
      <c r="V72">
        <v>2026</v>
      </c>
      <c r="W72">
        <v>2026</v>
      </c>
      <c r="X72" t="s">
        <v>107</v>
      </c>
      <c r="Y72">
        <v>0</v>
      </c>
      <c r="Z72">
        <v>0</v>
      </c>
      <c r="AA72">
        <v>0</v>
      </c>
      <c r="AB72" t="s">
        <v>101</v>
      </c>
      <c r="AC72">
        <v>85</v>
      </c>
      <c r="AD72">
        <v>133248</v>
      </c>
      <c r="AE72" t="s">
        <v>117</v>
      </c>
      <c r="AF72">
        <v>1675.54</v>
      </c>
      <c r="AG72">
        <v>7049</v>
      </c>
      <c r="AH72">
        <v>0</v>
      </c>
      <c r="AI72">
        <v>1000000</v>
      </c>
      <c r="AJ72">
        <v>200000</v>
      </c>
      <c r="AK72">
        <v>1000000</v>
      </c>
      <c r="AL72">
        <v>10000</v>
      </c>
      <c r="AM72">
        <v>10000</v>
      </c>
      <c r="AN72">
        <v>450.37</v>
      </c>
      <c r="AO72">
        <v>450.37</v>
      </c>
      <c r="AP72">
        <v>112.59</v>
      </c>
      <c r="AQ72">
        <v>56.3</v>
      </c>
      <c r="AR72">
        <v>56.3</v>
      </c>
      <c r="AS72" t="s">
        <v>86</v>
      </c>
      <c r="AT72" t="s">
        <v>86</v>
      </c>
      <c r="AU72">
        <v>0</v>
      </c>
      <c r="AV72">
        <v>0</v>
      </c>
    </row>
    <row r="73" spans="1:48" x14ac:dyDescent="0.3">
      <c r="A73">
        <v>4079</v>
      </c>
      <c r="B73" t="s">
        <v>104</v>
      </c>
      <c r="C73" t="s">
        <v>346</v>
      </c>
      <c r="D73" t="s">
        <v>347</v>
      </c>
      <c r="E73" t="s">
        <v>105</v>
      </c>
      <c r="F73" t="s">
        <v>97</v>
      </c>
      <c r="G73" t="s">
        <v>98</v>
      </c>
      <c r="H73">
        <v>0</v>
      </c>
      <c r="I73">
        <v>0</v>
      </c>
      <c r="J73" t="s">
        <v>106</v>
      </c>
      <c r="K73" t="s">
        <v>106</v>
      </c>
      <c r="N73" s="9">
        <v>46134</v>
      </c>
      <c r="O73">
        <v>10420</v>
      </c>
      <c r="P73">
        <v>9</v>
      </c>
      <c r="Q73">
        <v>119</v>
      </c>
      <c r="R73" t="s">
        <v>86</v>
      </c>
      <c r="S73" t="s">
        <v>87</v>
      </c>
      <c r="T73" t="s">
        <v>99</v>
      </c>
      <c r="U73" t="s">
        <v>837</v>
      </c>
      <c r="V73">
        <v>2026</v>
      </c>
      <c r="W73">
        <v>2026</v>
      </c>
      <c r="X73" t="s">
        <v>107</v>
      </c>
      <c r="Y73">
        <v>0</v>
      </c>
      <c r="Z73">
        <v>0</v>
      </c>
      <c r="AA73">
        <v>0</v>
      </c>
      <c r="AB73" t="s">
        <v>101</v>
      </c>
      <c r="AC73">
        <v>85</v>
      </c>
      <c r="AD73">
        <v>133248</v>
      </c>
      <c r="AE73" t="s">
        <v>117</v>
      </c>
      <c r="AF73">
        <v>1675.54</v>
      </c>
      <c r="AG73">
        <v>7049</v>
      </c>
      <c r="AH73">
        <v>0</v>
      </c>
      <c r="AI73">
        <v>1000000</v>
      </c>
      <c r="AJ73">
        <v>200000</v>
      </c>
      <c r="AK73">
        <v>1000000</v>
      </c>
      <c r="AL73">
        <v>10000</v>
      </c>
      <c r="AM73">
        <v>10000</v>
      </c>
      <c r="AN73">
        <v>450.37</v>
      </c>
      <c r="AO73">
        <v>450.37</v>
      </c>
      <c r="AP73">
        <v>112.59</v>
      </c>
      <c r="AQ73">
        <v>56.3</v>
      </c>
      <c r="AR73">
        <v>56.3</v>
      </c>
      <c r="AS73" t="s">
        <v>86</v>
      </c>
      <c r="AT73" t="s">
        <v>86</v>
      </c>
      <c r="AU73">
        <v>0</v>
      </c>
      <c r="AV73">
        <v>0</v>
      </c>
    </row>
    <row r="74" spans="1:48" x14ac:dyDescent="0.3">
      <c r="A74">
        <v>4080</v>
      </c>
      <c r="B74" t="s">
        <v>104</v>
      </c>
      <c r="C74" t="s">
        <v>348</v>
      </c>
      <c r="D74" t="s">
        <v>349</v>
      </c>
      <c r="E74" t="s">
        <v>105</v>
      </c>
      <c r="F74" t="s">
        <v>97</v>
      </c>
      <c r="G74" t="s">
        <v>98</v>
      </c>
      <c r="H74">
        <v>0</v>
      </c>
      <c r="I74">
        <v>0</v>
      </c>
      <c r="J74" t="s">
        <v>106</v>
      </c>
      <c r="K74" t="s">
        <v>106</v>
      </c>
      <c r="N74" s="9">
        <v>46134</v>
      </c>
      <c r="O74">
        <v>10420</v>
      </c>
      <c r="P74">
        <v>9</v>
      </c>
      <c r="Q74">
        <v>120</v>
      </c>
      <c r="R74" t="s">
        <v>86</v>
      </c>
      <c r="S74" t="s">
        <v>87</v>
      </c>
      <c r="T74" t="s">
        <v>99</v>
      </c>
      <c r="U74" t="s">
        <v>837</v>
      </c>
      <c r="V74">
        <v>2026</v>
      </c>
      <c r="W74">
        <v>2026</v>
      </c>
      <c r="X74" t="s">
        <v>107</v>
      </c>
      <c r="Y74">
        <v>0</v>
      </c>
      <c r="Z74">
        <v>0</v>
      </c>
      <c r="AA74">
        <v>0</v>
      </c>
      <c r="AB74" t="s">
        <v>101</v>
      </c>
      <c r="AC74">
        <v>85</v>
      </c>
      <c r="AD74">
        <v>133248</v>
      </c>
      <c r="AE74" t="s">
        <v>117</v>
      </c>
      <c r="AF74">
        <v>1675.54</v>
      </c>
      <c r="AG74">
        <v>7049</v>
      </c>
      <c r="AH74">
        <v>0</v>
      </c>
      <c r="AI74">
        <v>1000000</v>
      </c>
      <c r="AJ74">
        <v>200000</v>
      </c>
      <c r="AK74">
        <v>1000000</v>
      </c>
      <c r="AL74">
        <v>10000</v>
      </c>
      <c r="AM74">
        <v>10000</v>
      </c>
      <c r="AN74">
        <v>450.37</v>
      </c>
      <c r="AO74">
        <v>450.37</v>
      </c>
      <c r="AP74">
        <v>112.59</v>
      </c>
      <c r="AQ74">
        <v>56.3</v>
      </c>
      <c r="AR74">
        <v>56.3</v>
      </c>
      <c r="AS74" t="s">
        <v>86</v>
      </c>
      <c r="AT74" t="s">
        <v>86</v>
      </c>
      <c r="AU74">
        <v>0</v>
      </c>
      <c r="AV74">
        <v>0</v>
      </c>
    </row>
    <row r="75" spans="1:48" x14ac:dyDescent="0.3">
      <c r="A75">
        <v>4081</v>
      </c>
      <c r="B75" t="s">
        <v>104</v>
      </c>
      <c r="C75" t="s">
        <v>350</v>
      </c>
      <c r="D75" t="s">
        <v>351</v>
      </c>
      <c r="E75" t="s">
        <v>105</v>
      </c>
      <c r="F75" t="s">
        <v>97</v>
      </c>
      <c r="G75" t="s">
        <v>98</v>
      </c>
      <c r="H75">
        <v>0</v>
      </c>
      <c r="I75">
        <v>0</v>
      </c>
      <c r="J75" t="s">
        <v>106</v>
      </c>
      <c r="K75" t="s">
        <v>106</v>
      </c>
      <c r="N75" s="9">
        <v>46134</v>
      </c>
      <c r="O75">
        <v>10420</v>
      </c>
      <c r="P75">
        <v>9</v>
      </c>
      <c r="Q75">
        <v>121</v>
      </c>
      <c r="R75" t="s">
        <v>86</v>
      </c>
      <c r="S75" t="s">
        <v>87</v>
      </c>
      <c r="T75" t="s">
        <v>99</v>
      </c>
      <c r="U75" t="s">
        <v>837</v>
      </c>
      <c r="V75">
        <v>2026</v>
      </c>
      <c r="W75">
        <v>2026</v>
      </c>
      <c r="X75" t="s">
        <v>107</v>
      </c>
      <c r="Y75">
        <v>0</v>
      </c>
      <c r="Z75">
        <v>0</v>
      </c>
      <c r="AA75">
        <v>0</v>
      </c>
      <c r="AB75" t="s">
        <v>101</v>
      </c>
      <c r="AC75">
        <v>85</v>
      </c>
      <c r="AD75">
        <v>133248</v>
      </c>
      <c r="AE75" t="s">
        <v>117</v>
      </c>
      <c r="AF75">
        <v>1675.54</v>
      </c>
      <c r="AG75">
        <v>7049</v>
      </c>
      <c r="AH75">
        <v>0</v>
      </c>
      <c r="AI75">
        <v>1000000</v>
      </c>
      <c r="AJ75">
        <v>200000</v>
      </c>
      <c r="AK75">
        <v>1000000</v>
      </c>
      <c r="AL75">
        <v>10000</v>
      </c>
      <c r="AM75">
        <v>10000</v>
      </c>
      <c r="AN75">
        <v>450.37</v>
      </c>
      <c r="AO75">
        <v>450.37</v>
      </c>
      <c r="AP75">
        <v>112.59</v>
      </c>
      <c r="AQ75">
        <v>56.3</v>
      </c>
      <c r="AR75">
        <v>56.3</v>
      </c>
      <c r="AS75" t="s">
        <v>86</v>
      </c>
      <c r="AT75" t="s">
        <v>86</v>
      </c>
      <c r="AU75">
        <v>0</v>
      </c>
      <c r="AV75">
        <v>0</v>
      </c>
    </row>
    <row r="76" spans="1:48" x14ac:dyDescent="0.3">
      <c r="A76">
        <v>4082</v>
      </c>
      <c r="B76" t="s">
        <v>104</v>
      </c>
      <c r="C76" t="s">
        <v>352</v>
      </c>
      <c r="D76" t="s">
        <v>353</v>
      </c>
      <c r="E76" t="s">
        <v>105</v>
      </c>
      <c r="F76" t="s">
        <v>97</v>
      </c>
      <c r="G76" t="s">
        <v>98</v>
      </c>
      <c r="H76">
        <v>0</v>
      </c>
      <c r="I76">
        <v>0</v>
      </c>
      <c r="J76" t="s">
        <v>106</v>
      </c>
      <c r="K76" t="s">
        <v>106</v>
      </c>
      <c r="N76" s="9">
        <v>46134</v>
      </c>
      <c r="O76">
        <v>10420</v>
      </c>
      <c r="P76">
        <v>9</v>
      </c>
      <c r="Q76">
        <v>122</v>
      </c>
      <c r="R76" t="s">
        <v>86</v>
      </c>
      <c r="S76" t="s">
        <v>87</v>
      </c>
      <c r="T76" t="s">
        <v>99</v>
      </c>
      <c r="U76" t="s">
        <v>837</v>
      </c>
      <c r="V76">
        <v>2026</v>
      </c>
      <c r="W76">
        <v>2026</v>
      </c>
      <c r="X76" t="s">
        <v>107</v>
      </c>
      <c r="Y76">
        <v>0</v>
      </c>
      <c r="Z76">
        <v>0</v>
      </c>
      <c r="AA76">
        <v>0</v>
      </c>
      <c r="AB76" t="s">
        <v>101</v>
      </c>
      <c r="AC76">
        <v>85</v>
      </c>
      <c r="AD76">
        <v>133248</v>
      </c>
      <c r="AE76" t="s">
        <v>117</v>
      </c>
      <c r="AF76">
        <v>1675.54</v>
      </c>
      <c r="AG76">
        <v>7049</v>
      </c>
      <c r="AH76">
        <v>0</v>
      </c>
      <c r="AI76">
        <v>1000000</v>
      </c>
      <c r="AJ76">
        <v>200000</v>
      </c>
      <c r="AK76">
        <v>1000000</v>
      </c>
      <c r="AL76">
        <v>10000</v>
      </c>
      <c r="AM76">
        <v>10000</v>
      </c>
      <c r="AN76">
        <v>450.37</v>
      </c>
      <c r="AO76">
        <v>450.37</v>
      </c>
      <c r="AP76">
        <v>112.59</v>
      </c>
      <c r="AQ76">
        <v>56.3</v>
      </c>
      <c r="AR76">
        <v>56.3</v>
      </c>
      <c r="AS76" t="s">
        <v>86</v>
      </c>
      <c r="AT76" t="s">
        <v>86</v>
      </c>
      <c r="AU76">
        <v>0</v>
      </c>
      <c r="AV76">
        <v>0</v>
      </c>
    </row>
    <row r="77" spans="1:48" x14ac:dyDescent="0.3">
      <c r="A77">
        <v>4083</v>
      </c>
      <c r="B77" t="s">
        <v>104</v>
      </c>
      <c r="C77" t="s">
        <v>354</v>
      </c>
      <c r="D77" t="s">
        <v>355</v>
      </c>
      <c r="E77" t="s">
        <v>105</v>
      </c>
      <c r="F77" t="s">
        <v>97</v>
      </c>
      <c r="G77" t="s">
        <v>98</v>
      </c>
      <c r="H77">
        <v>0</v>
      </c>
      <c r="I77">
        <v>0</v>
      </c>
      <c r="J77" t="s">
        <v>106</v>
      </c>
      <c r="K77" t="s">
        <v>106</v>
      </c>
      <c r="N77" s="9">
        <v>46134</v>
      </c>
      <c r="O77">
        <v>10420</v>
      </c>
      <c r="P77">
        <v>9</v>
      </c>
      <c r="Q77">
        <v>123</v>
      </c>
      <c r="R77" t="s">
        <v>86</v>
      </c>
      <c r="S77" t="s">
        <v>87</v>
      </c>
      <c r="T77" t="s">
        <v>99</v>
      </c>
      <c r="U77" t="s">
        <v>837</v>
      </c>
      <c r="V77">
        <v>2026</v>
      </c>
      <c r="W77">
        <v>2026</v>
      </c>
      <c r="X77" t="s">
        <v>107</v>
      </c>
      <c r="Y77">
        <v>0</v>
      </c>
      <c r="Z77">
        <v>0</v>
      </c>
      <c r="AA77">
        <v>0</v>
      </c>
      <c r="AB77" t="s">
        <v>101</v>
      </c>
      <c r="AC77">
        <v>85</v>
      </c>
      <c r="AD77">
        <v>133248</v>
      </c>
      <c r="AE77" t="s">
        <v>117</v>
      </c>
      <c r="AF77">
        <v>1675.54</v>
      </c>
      <c r="AG77">
        <v>7049</v>
      </c>
      <c r="AH77">
        <v>0</v>
      </c>
      <c r="AI77">
        <v>1000000</v>
      </c>
      <c r="AJ77">
        <v>200000</v>
      </c>
      <c r="AK77">
        <v>1000000</v>
      </c>
      <c r="AL77">
        <v>10000</v>
      </c>
      <c r="AM77">
        <v>10000</v>
      </c>
      <c r="AN77">
        <v>450.37</v>
      </c>
      <c r="AO77">
        <v>450.37</v>
      </c>
      <c r="AP77">
        <v>112.59</v>
      </c>
      <c r="AQ77">
        <v>56.3</v>
      </c>
      <c r="AR77">
        <v>56.3</v>
      </c>
      <c r="AS77" t="s">
        <v>86</v>
      </c>
      <c r="AT77" t="s">
        <v>86</v>
      </c>
      <c r="AU77">
        <v>0</v>
      </c>
      <c r="AV77">
        <v>0</v>
      </c>
    </row>
    <row r="78" spans="1:48" x14ac:dyDescent="0.3">
      <c r="A78">
        <v>4084</v>
      </c>
      <c r="B78" t="s">
        <v>104</v>
      </c>
      <c r="C78" t="s">
        <v>356</v>
      </c>
      <c r="D78" t="s">
        <v>357</v>
      </c>
      <c r="E78" t="s">
        <v>105</v>
      </c>
      <c r="F78" t="s">
        <v>97</v>
      </c>
      <c r="G78" t="s">
        <v>98</v>
      </c>
      <c r="H78">
        <v>0</v>
      </c>
      <c r="I78">
        <v>0</v>
      </c>
      <c r="J78" t="s">
        <v>106</v>
      </c>
      <c r="K78" t="s">
        <v>106</v>
      </c>
      <c r="N78" s="9">
        <v>46134</v>
      </c>
      <c r="O78">
        <v>10420</v>
      </c>
      <c r="P78">
        <v>9</v>
      </c>
      <c r="Q78">
        <v>124</v>
      </c>
      <c r="R78" t="s">
        <v>86</v>
      </c>
      <c r="S78" t="s">
        <v>87</v>
      </c>
      <c r="T78" t="s">
        <v>99</v>
      </c>
      <c r="U78" t="s">
        <v>837</v>
      </c>
      <c r="V78">
        <v>2026</v>
      </c>
      <c r="W78">
        <v>2026</v>
      </c>
      <c r="X78" t="s">
        <v>107</v>
      </c>
      <c r="Y78">
        <v>0</v>
      </c>
      <c r="Z78">
        <v>0</v>
      </c>
      <c r="AA78">
        <v>0</v>
      </c>
      <c r="AB78" t="s">
        <v>101</v>
      </c>
      <c r="AC78">
        <v>85</v>
      </c>
      <c r="AD78">
        <v>133248</v>
      </c>
      <c r="AE78" t="s">
        <v>117</v>
      </c>
      <c r="AF78">
        <v>1675.54</v>
      </c>
      <c r="AG78">
        <v>7049</v>
      </c>
      <c r="AH78">
        <v>0</v>
      </c>
      <c r="AI78">
        <v>1000000</v>
      </c>
      <c r="AJ78">
        <v>200000</v>
      </c>
      <c r="AK78">
        <v>1000000</v>
      </c>
      <c r="AL78">
        <v>10000</v>
      </c>
      <c r="AM78">
        <v>10000</v>
      </c>
      <c r="AN78">
        <v>450.37</v>
      </c>
      <c r="AO78">
        <v>450.37</v>
      </c>
      <c r="AP78">
        <v>112.59</v>
      </c>
      <c r="AQ78">
        <v>56.3</v>
      </c>
      <c r="AR78">
        <v>56.3</v>
      </c>
      <c r="AS78" t="s">
        <v>86</v>
      </c>
      <c r="AT78" t="s">
        <v>86</v>
      </c>
      <c r="AU78">
        <v>0</v>
      </c>
      <c r="AV78">
        <v>0</v>
      </c>
    </row>
    <row r="79" spans="1:48" x14ac:dyDescent="0.3">
      <c r="A79">
        <v>4085</v>
      </c>
      <c r="B79" t="s">
        <v>104</v>
      </c>
      <c r="C79" t="s">
        <v>358</v>
      </c>
      <c r="D79" t="s">
        <v>359</v>
      </c>
      <c r="E79" t="s">
        <v>105</v>
      </c>
      <c r="F79" t="s">
        <v>97</v>
      </c>
      <c r="G79" t="s">
        <v>98</v>
      </c>
      <c r="H79">
        <v>0</v>
      </c>
      <c r="I79">
        <v>0</v>
      </c>
      <c r="J79" t="s">
        <v>106</v>
      </c>
      <c r="K79" t="s">
        <v>106</v>
      </c>
      <c r="N79" s="9">
        <v>46134</v>
      </c>
      <c r="O79">
        <v>10420</v>
      </c>
      <c r="P79">
        <v>9</v>
      </c>
      <c r="Q79">
        <v>125</v>
      </c>
      <c r="R79" t="s">
        <v>86</v>
      </c>
      <c r="S79" t="s">
        <v>87</v>
      </c>
      <c r="T79" t="s">
        <v>99</v>
      </c>
      <c r="U79" t="s">
        <v>837</v>
      </c>
      <c r="V79">
        <v>2026</v>
      </c>
      <c r="W79">
        <v>2026</v>
      </c>
      <c r="X79" t="s">
        <v>107</v>
      </c>
      <c r="Y79">
        <v>0</v>
      </c>
      <c r="Z79">
        <v>0</v>
      </c>
      <c r="AA79">
        <v>0</v>
      </c>
      <c r="AB79" t="s">
        <v>101</v>
      </c>
      <c r="AC79">
        <v>85</v>
      </c>
      <c r="AD79">
        <v>133248</v>
      </c>
      <c r="AE79" t="s">
        <v>117</v>
      </c>
      <c r="AF79">
        <v>1675.54</v>
      </c>
      <c r="AG79">
        <v>7049</v>
      </c>
      <c r="AH79">
        <v>0</v>
      </c>
      <c r="AI79">
        <v>1000000</v>
      </c>
      <c r="AJ79">
        <v>200000</v>
      </c>
      <c r="AK79">
        <v>1000000</v>
      </c>
      <c r="AL79">
        <v>10000</v>
      </c>
      <c r="AM79">
        <v>10000</v>
      </c>
      <c r="AN79">
        <v>450.37</v>
      </c>
      <c r="AO79">
        <v>450.37</v>
      </c>
      <c r="AP79">
        <v>112.59</v>
      </c>
      <c r="AQ79">
        <v>56.3</v>
      </c>
      <c r="AR79">
        <v>56.3</v>
      </c>
      <c r="AS79" t="s">
        <v>86</v>
      </c>
      <c r="AT79" t="s">
        <v>86</v>
      </c>
      <c r="AU79">
        <v>0</v>
      </c>
      <c r="AV79">
        <v>0</v>
      </c>
    </row>
    <row r="80" spans="1:48" x14ac:dyDescent="0.3">
      <c r="A80">
        <v>4086</v>
      </c>
      <c r="B80" t="s">
        <v>104</v>
      </c>
      <c r="C80" t="s">
        <v>360</v>
      </c>
      <c r="D80" t="s">
        <v>361</v>
      </c>
      <c r="E80" t="s">
        <v>105</v>
      </c>
      <c r="F80" t="s">
        <v>97</v>
      </c>
      <c r="G80" t="s">
        <v>98</v>
      </c>
      <c r="H80">
        <v>0</v>
      </c>
      <c r="I80">
        <v>0</v>
      </c>
      <c r="J80" t="s">
        <v>106</v>
      </c>
      <c r="K80" t="s">
        <v>106</v>
      </c>
      <c r="N80" s="9">
        <v>46134</v>
      </c>
      <c r="O80">
        <v>10420</v>
      </c>
      <c r="P80">
        <v>8</v>
      </c>
      <c r="Q80">
        <v>35</v>
      </c>
      <c r="R80" t="s">
        <v>86</v>
      </c>
      <c r="S80" t="s">
        <v>87</v>
      </c>
      <c r="T80" t="s">
        <v>102</v>
      </c>
      <c r="U80" t="s">
        <v>838</v>
      </c>
      <c r="V80">
        <v>2025</v>
      </c>
      <c r="W80">
        <v>2026</v>
      </c>
      <c r="X80" t="s">
        <v>107</v>
      </c>
      <c r="Y80">
        <v>0</v>
      </c>
      <c r="Z80">
        <v>0</v>
      </c>
      <c r="AA80">
        <v>0</v>
      </c>
      <c r="AB80" t="s">
        <v>101</v>
      </c>
      <c r="AC80">
        <v>85</v>
      </c>
      <c r="AD80">
        <v>112451</v>
      </c>
      <c r="AE80" t="s">
        <v>117</v>
      </c>
      <c r="AF80">
        <v>1675.54</v>
      </c>
      <c r="AG80">
        <v>7049</v>
      </c>
      <c r="AH80">
        <v>0</v>
      </c>
      <c r="AI80">
        <v>1000000</v>
      </c>
      <c r="AJ80">
        <v>200000</v>
      </c>
      <c r="AK80">
        <v>1000000</v>
      </c>
      <c r="AL80">
        <v>10000</v>
      </c>
      <c r="AM80">
        <v>10000</v>
      </c>
      <c r="AN80">
        <v>450.37</v>
      </c>
      <c r="AO80">
        <v>450.37</v>
      </c>
      <c r="AP80">
        <v>112.59</v>
      </c>
      <c r="AQ80">
        <v>56.3</v>
      </c>
      <c r="AR80">
        <v>56.3</v>
      </c>
      <c r="AS80" t="s">
        <v>86</v>
      </c>
      <c r="AT80" t="s">
        <v>86</v>
      </c>
      <c r="AU80">
        <v>0</v>
      </c>
      <c r="AV80">
        <v>0</v>
      </c>
    </row>
    <row r="81" spans="1:48" x14ac:dyDescent="0.3">
      <c r="A81">
        <v>4087</v>
      </c>
      <c r="B81" t="s">
        <v>104</v>
      </c>
      <c r="C81" t="s">
        <v>362</v>
      </c>
      <c r="D81" t="s">
        <v>363</v>
      </c>
      <c r="E81" t="s">
        <v>105</v>
      </c>
      <c r="F81" t="s">
        <v>97</v>
      </c>
      <c r="G81" t="s">
        <v>98</v>
      </c>
      <c r="H81">
        <v>0</v>
      </c>
      <c r="I81">
        <v>0</v>
      </c>
      <c r="J81" t="s">
        <v>106</v>
      </c>
      <c r="K81" t="s">
        <v>106</v>
      </c>
      <c r="N81" s="9">
        <v>46134</v>
      </c>
      <c r="O81">
        <v>10420</v>
      </c>
      <c r="P81">
        <v>8</v>
      </c>
      <c r="Q81">
        <v>36</v>
      </c>
      <c r="R81" t="s">
        <v>86</v>
      </c>
      <c r="S81" t="s">
        <v>87</v>
      </c>
      <c r="T81" t="s">
        <v>102</v>
      </c>
      <c r="U81" t="s">
        <v>838</v>
      </c>
      <c r="V81">
        <v>2025</v>
      </c>
      <c r="W81">
        <v>2026</v>
      </c>
      <c r="X81" t="s">
        <v>107</v>
      </c>
      <c r="Y81">
        <v>0</v>
      </c>
      <c r="Z81">
        <v>0</v>
      </c>
      <c r="AA81">
        <v>0</v>
      </c>
      <c r="AB81" t="s">
        <v>101</v>
      </c>
      <c r="AC81">
        <v>85</v>
      </c>
      <c r="AD81">
        <v>112451</v>
      </c>
      <c r="AE81" t="s">
        <v>117</v>
      </c>
      <c r="AF81">
        <v>1675.54</v>
      </c>
      <c r="AG81">
        <v>7049</v>
      </c>
      <c r="AH81">
        <v>0</v>
      </c>
      <c r="AI81">
        <v>1000000</v>
      </c>
      <c r="AJ81">
        <v>200000</v>
      </c>
      <c r="AK81">
        <v>1000000</v>
      </c>
      <c r="AL81">
        <v>10000</v>
      </c>
      <c r="AM81">
        <v>10000</v>
      </c>
      <c r="AN81">
        <v>450.37</v>
      </c>
      <c r="AO81">
        <v>450.37</v>
      </c>
      <c r="AP81">
        <v>112.59</v>
      </c>
      <c r="AQ81">
        <v>56.3</v>
      </c>
      <c r="AR81">
        <v>56.3</v>
      </c>
      <c r="AS81" t="s">
        <v>86</v>
      </c>
      <c r="AT81" t="s">
        <v>86</v>
      </c>
      <c r="AU81">
        <v>0</v>
      </c>
      <c r="AV81">
        <v>0</v>
      </c>
    </row>
    <row r="82" spans="1:48" x14ac:dyDescent="0.3">
      <c r="A82">
        <v>4088</v>
      </c>
      <c r="B82" t="s">
        <v>104</v>
      </c>
      <c r="C82" t="s">
        <v>364</v>
      </c>
      <c r="D82" t="s">
        <v>365</v>
      </c>
      <c r="E82" t="s">
        <v>105</v>
      </c>
      <c r="F82" t="s">
        <v>97</v>
      </c>
      <c r="G82" t="s">
        <v>98</v>
      </c>
      <c r="H82">
        <v>0</v>
      </c>
      <c r="I82">
        <v>0</v>
      </c>
      <c r="J82" t="s">
        <v>106</v>
      </c>
      <c r="K82" t="s">
        <v>106</v>
      </c>
      <c r="N82" s="9">
        <v>46134</v>
      </c>
      <c r="O82">
        <v>10420</v>
      </c>
      <c r="P82">
        <v>8</v>
      </c>
      <c r="Q82">
        <v>37</v>
      </c>
      <c r="R82" t="s">
        <v>86</v>
      </c>
      <c r="S82" t="s">
        <v>87</v>
      </c>
      <c r="T82" t="s">
        <v>102</v>
      </c>
      <c r="U82" t="s">
        <v>838</v>
      </c>
      <c r="V82">
        <v>2025</v>
      </c>
      <c r="W82">
        <v>2026</v>
      </c>
      <c r="X82" t="s">
        <v>107</v>
      </c>
      <c r="Y82">
        <v>0</v>
      </c>
      <c r="Z82">
        <v>0</v>
      </c>
      <c r="AA82">
        <v>0</v>
      </c>
      <c r="AB82" t="s">
        <v>101</v>
      </c>
      <c r="AC82">
        <v>85</v>
      </c>
      <c r="AD82">
        <v>112451</v>
      </c>
      <c r="AE82" t="s">
        <v>117</v>
      </c>
      <c r="AF82">
        <v>1675.54</v>
      </c>
      <c r="AG82">
        <v>7049</v>
      </c>
      <c r="AH82">
        <v>0</v>
      </c>
      <c r="AI82">
        <v>1000000</v>
      </c>
      <c r="AJ82">
        <v>200000</v>
      </c>
      <c r="AK82">
        <v>1000000</v>
      </c>
      <c r="AL82">
        <v>10000</v>
      </c>
      <c r="AM82">
        <v>10000</v>
      </c>
      <c r="AN82">
        <v>450.37</v>
      </c>
      <c r="AO82">
        <v>450.37</v>
      </c>
      <c r="AP82">
        <v>112.59</v>
      </c>
      <c r="AQ82">
        <v>56.3</v>
      </c>
      <c r="AR82">
        <v>56.3</v>
      </c>
      <c r="AS82" t="s">
        <v>86</v>
      </c>
      <c r="AT82" t="s">
        <v>86</v>
      </c>
      <c r="AU82">
        <v>0</v>
      </c>
      <c r="AV82">
        <v>0</v>
      </c>
    </row>
    <row r="83" spans="1:48" x14ac:dyDescent="0.3">
      <c r="A83">
        <v>4091</v>
      </c>
      <c r="B83" t="s">
        <v>104</v>
      </c>
      <c r="C83" t="s">
        <v>366</v>
      </c>
      <c r="D83" t="s">
        <v>367</v>
      </c>
      <c r="E83" t="s">
        <v>105</v>
      </c>
      <c r="F83" t="s">
        <v>97</v>
      </c>
      <c r="G83" t="s">
        <v>98</v>
      </c>
      <c r="H83">
        <v>0</v>
      </c>
      <c r="I83">
        <v>0</v>
      </c>
      <c r="J83" t="s">
        <v>106</v>
      </c>
      <c r="K83" t="s">
        <v>106</v>
      </c>
      <c r="N83" s="9">
        <v>46134</v>
      </c>
      <c r="O83">
        <v>10420</v>
      </c>
      <c r="P83">
        <v>8</v>
      </c>
      <c r="Q83">
        <v>38</v>
      </c>
      <c r="R83" t="s">
        <v>86</v>
      </c>
      <c r="S83" t="s">
        <v>87</v>
      </c>
      <c r="T83" t="s">
        <v>102</v>
      </c>
      <c r="U83" t="s">
        <v>838</v>
      </c>
      <c r="V83">
        <v>2025</v>
      </c>
      <c r="W83">
        <v>2026</v>
      </c>
      <c r="X83" t="s">
        <v>107</v>
      </c>
      <c r="Y83">
        <v>0</v>
      </c>
      <c r="Z83">
        <v>0</v>
      </c>
      <c r="AA83">
        <v>0</v>
      </c>
      <c r="AB83" t="s">
        <v>101</v>
      </c>
      <c r="AC83">
        <v>85</v>
      </c>
      <c r="AD83">
        <v>112451</v>
      </c>
      <c r="AE83" t="s">
        <v>117</v>
      </c>
      <c r="AF83">
        <v>1675.54</v>
      </c>
      <c r="AG83">
        <v>7049</v>
      </c>
      <c r="AH83">
        <v>0</v>
      </c>
      <c r="AI83">
        <v>1000000</v>
      </c>
      <c r="AJ83">
        <v>200000</v>
      </c>
      <c r="AK83">
        <v>1000000</v>
      </c>
      <c r="AL83">
        <v>10000</v>
      </c>
      <c r="AM83">
        <v>10000</v>
      </c>
      <c r="AN83">
        <v>450.37</v>
      </c>
      <c r="AO83">
        <v>450.37</v>
      </c>
      <c r="AP83">
        <v>112.59</v>
      </c>
      <c r="AQ83">
        <v>56.3</v>
      </c>
      <c r="AR83">
        <v>56.3</v>
      </c>
      <c r="AS83" t="s">
        <v>86</v>
      </c>
      <c r="AT83" t="s">
        <v>86</v>
      </c>
      <c r="AU83">
        <v>0</v>
      </c>
      <c r="AV83">
        <v>0</v>
      </c>
    </row>
    <row r="84" spans="1:48" x14ac:dyDescent="0.3">
      <c r="A84">
        <v>4092</v>
      </c>
      <c r="B84" t="s">
        <v>104</v>
      </c>
      <c r="C84" t="s">
        <v>368</v>
      </c>
      <c r="D84" t="s">
        <v>369</v>
      </c>
      <c r="E84" t="s">
        <v>105</v>
      </c>
      <c r="F84" t="s">
        <v>97</v>
      </c>
      <c r="G84" t="s">
        <v>98</v>
      </c>
      <c r="H84">
        <v>0</v>
      </c>
      <c r="I84">
        <v>0</v>
      </c>
      <c r="J84" t="s">
        <v>106</v>
      </c>
      <c r="K84" t="s">
        <v>106</v>
      </c>
      <c r="N84" s="9">
        <v>46134</v>
      </c>
      <c r="O84">
        <v>10420</v>
      </c>
      <c r="P84">
        <v>8</v>
      </c>
      <c r="Q84">
        <v>39</v>
      </c>
      <c r="R84" t="s">
        <v>86</v>
      </c>
      <c r="S84" t="s">
        <v>87</v>
      </c>
      <c r="T84" t="s">
        <v>102</v>
      </c>
      <c r="U84" t="s">
        <v>838</v>
      </c>
      <c r="V84">
        <v>2025</v>
      </c>
      <c r="W84">
        <v>2026</v>
      </c>
      <c r="X84" t="s">
        <v>107</v>
      </c>
      <c r="Y84">
        <v>0</v>
      </c>
      <c r="Z84">
        <v>0</v>
      </c>
      <c r="AA84">
        <v>0</v>
      </c>
      <c r="AB84" t="s">
        <v>101</v>
      </c>
      <c r="AC84">
        <v>85</v>
      </c>
      <c r="AD84">
        <v>112451</v>
      </c>
      <c r="AE84" t="s">
        <v>117</v>
      </c>
      <c r="AF84">
        <v>1675.54</v>
      </c>
      <c r="AG84">
        <v>7049</v>
      </c>
      <c r="AH84">
        <v>0</v>
      </c>
      <c r="AI84">
        <v>1000000</v>
      </c>
      <c r="AJ84">
        <v>200000</v>
      </c>
      <c r="AK84">
        <v>1000000</v>
      </c>
      <c r="AL84">
        <v>10000</v>
      </c>
      <c r="AM84">
        <v>10000</v>
      </c>
      <c r="AN84">
        <v>450.37</v>
      </c>
      <c r="AO84">
        <v>450.37</v>
      </c>
      <c r="AP84">
        <v>112.59</v>
      </c>
      <c r="AQ84">
        <v>56.3</v>
      </c>
      <c r="AR84">
        <v>56.3</v>
      </c>
      <c r="AS84" t="s">
        <v>86</v>
      </c>
      <c r="AT84" t="s">
        <v>86</v>
      </c>
      <c r="AU84">
        <v>0</v>
      </c>
      <c r="AV84">
        <v>0</v>
      </c>
    </row>
    <row r="85" spans="1:48" x14ac:dyDescent="0.3">
      <c r="A85">
        <v>4093</v>
      </c>
      <c r="B85" t="s">
        <v>104</v>
      </c>
      <c r="C85" t="s">
        <v>370</v>
      </c>
      <c r="D85" t="s">
        <v>371</v>
      </c>
      <c r="E85" t="s">
        <v>105</v>
      </c>
      <c r="F85" t="s">
        <v>97</v>
      </c>
      <c r="G85" t="s">
        <v>98</v>
      </c>
      <c r="H85">
        <v>0</v>
      </c>
      <c r="I85">
        <v>0</v>
      </c>
      <c r="J85" t="s">
        <v>106</v>
      </c>
      <c r="K85" t="s">
        <v>106</v>
      </c>
      <c r="N85" s="9">
        <v>46134</v>
      </c>
      <c r="O85">
        <v>10420</v>
      </c>
      <c r="P85">
        <v>8</v>
      </c>
      <c r="Q85">
        <v>40</v>
      </c>
      <c r="R85" t="s">
        <v>86</v>
      </c>
      <c r="S85" t="s">
        <v>87</v>
      </c>
      <c r="T85" t="s">
        <v>102</v>
      </c>
      <c r="U85" t="s">
        <v>838</v>
      </c>
      <c r="V85">
        <v>2025</v>
      </c>
      <c r="W85">
        <v>2026</v>
      </c>
      <c r="X85" t="s">
        <v>107</v>
      </c>
      <c r="Y85">
        <v>0</v>
      </c>
      <c r="Z85">
        <v>0</v>
      </c>
      <c r="AA85">
        <v>0</v>
      </c>
      <c r="AB85" t="s">
        <v>101</v>
      </c>
      <c r="AC85">
        <v>85</v>
      </c>
      <c r="AD85">
        <v>112451</v>
      </c>
      <c r="AE85" t="s">
        <v>117</v>
      </c>
      <c r="AF85">
        <v>1675.54</v>
      </c>
      <c r="AG85">
        <v>7049</v>
      </c>
      <c r="AH85">
        <v>0</v>
      </c>
      <c r="AI85">
        <v>1000000</v>
      </c>
      <c r="AJ85">
        <v>200000</v>
      </c>
      <c r="AK85">
        <v>1000000</v>
      </c>
      <c r="AL85">
        <v>10000</v>
      </c>
      <c r="AM85">
        <v>10000</v>
      </c>
      <c r="AN85">
        <v>450.37</v>
      </c>
      <c r="AO85">
        <v>450.37</v>
      </c>
      <c r="AP85">
        <v>112.59</v>
      </c>
      <c r="AQ85">
        <v>56.3</v>
      </c>
      <c r="AR85">
        <v>56.3</v>
      </c>
      <c r="AS85" t="s">
        <v>86</v>
      </c>
      <c r="AT85" t="s">
        <v>86</v>
      </c>
      <c r="AU85">
        <v>0</v>
      </c>
      <c r="AV85">
        <v>0</v>
      </c>
    </row>
    <row r="86" spans="1:48" x14ac:dyDescent="0.3">
      <c r="A86">
        <v>4094</v>
      </c>
      <c r="B86" t="s">
        <v>104</v>
      </c>
      <c r="C86" t="s">
        <v>372</v>
      </c>
      <c r="D86" t="s">
        <v>373</v>
      </c>
      <c r="E86" t="s">
        <v>105</v>
      </c>
      <c r="F86" t="s">
        <v>97</v>
      </c>
      <c r="G86" t="s">
        <v>98</v>
      </c>
      <c r="H86">
        <v>0</v>
      </c>
      <c r="I86">
        <v>0</v>
      </c>
      <c r="J86" t="s">
        <v>106</v>
      </c>
      <c r="K86" t="s">
        <v>106</v>
      </c>
      <c r="N86" s="9">
        <v>46134</v>
      </c>
      <c r="O86">
        <v>10420</v>
      </c>
      <c r="P86">
        <v>9</v>
      </c>
      <c r="Q86">
        <v>126</v>
      </c>
      <c r="R86" t="s">
        <v>86</v>
      </c>
      <c r="S86" t="s">
        <v>87</v>
      </c>
      <c r="T86" t="s">
        <v>99</v>
      </c>
      <c r="U86" t="s">
        <v>837</v>
      </c>
      <c r="V86">
        <v>2026</v>
      </c>
      <c r="W86">
        <v>2026</v>
      </c>
      <c r="X86" t="s">
        <v>107</v>
      </c>
      <c r="Y86">
        <v>0</v>
      </c>
      <c r="Z86">
        <v>0</v>
      </c>
      <c r="AA86">
        <v>0</v>
      </c>
      <c r="AB86" t="s">
        <v>101</v>
      </c>
      <c r="AC86">
        <v>85</v>
      </c>
      <c r="AD86">
        <v>133248</v>
      </c>
      <c r="AE86" t="s">
        <v>117</v>
      </c>
      <c r="AF86">
        <v>1675.54</v>
      </c>
      <c r="AG86">
        <v>7049</v>
      </c>
      <c r="AH86">
        <v>0</v>
      </c>
      <c r="AI86">
        <v>1000000</v>
      </c>
      <c r="AJ86">
        <v>200000</v>
      </c>
      <c r="AK86">
        <v>1000000</v>
      </c>
      <c r="AL86">
        <v>10000</v>
      </c>
      <c r="AM86">
        <v>10000</v>
      </c>
      <c r="AN86">
        <v>450.37</v>
      </c>
      <c r="AO86">
        <v>450.37</v>
      </c>
      <c r="AP86">
        <v>112.59</v>
      </c>
      <c r="AQ86">
        <v>56.3</v>
      </c>
      <c r="AR86">
        <v>56.3</v>
      </c>
      <c r="AS86" t="s">
        <v>86</v>
      </c>
      <c r="AT86" t="s">
        <v>86</v>
      </c>
      <c r="AU86">
        <v>0</v>
      </c>
      <c r="AV86">
        <v>0</v>
      </c>
    </row>
    <row r="87" spans="1:48" x14ac:dyDescent="0.3">
      <c r="A87">
        <v>4095</v>
      </c>
      <c r="B87" t="s">
        <v>104</v>
      </c>
      <c r="C87" t="s">
        <v>374</v>
      </c>
      <c r="D87" t="s">
        <v>375</v>
      </c>
      <c r="E87" t="s">
        <v>105</v>
      </c>
      <c r="F87" t="s">
        <v>97</v>
      </c>
      <c r="G87" t="s">
        <v>98</v>
      </c>
      <c r="H87">
        <v>0</v>
      </c>
      <c r="I87">
        <v>0</v>
      </c>
      <c r="J87" t="s">
        <v>106</v>
      </c>
      <c r="K87" t="s">
        <v>106</v>
      </c>
      <c r="N87" s="9">
        <v>46134</v>
      </c>
      <c r="O87">
        <v>10420</v>
      </c>
      <c r="P87">
        <v>9</v>
      </c>
      <c r="Q87">
        <v>127</v>
      </c>
      <c r="R87" t="s">
        <v>86</v>
      </c>
      <c r="S87" t="s">
        <v>87</v>
      </c>
      <c r="T87" t="s">
        <v>99</v>
      </c>
      <c r="U87" t="s">
        <v>837</v>
      </c>
      <c r="V87">
        <v>2026</v>
      </c>
      <c r="W87">
        <v>2026</v>
      </c>
      <c r="X87" t="s">
        <v>107</v>
      </c>
      <c r="Y87">
        <v>0</v>
      </c>
      <c r="Z87">
        <v>0</v>
      </c>
      <c r="AA87">
        <v>0</v>
      </c>
      <c r="AB87" t="s">
        <v>101</v>
      </c>
      <c r="AC87">
        <v>85</v>
      </c>
      <c r="AD87">
        <v>133248</v>
      </c>
      <c r="AE87" t="s">
        <v>117</v>
      </c>
      <c r="AF87">
        <v>1675.54</v>
      </c>
      <c r="AG87">
        <v>7049</v>
      </c>
      <c r="AH87">
        <v>0</v>
      </c>
      <c r="AI87">
        <v>1000000</v>
      </c>
      <c r="AJ87">
        <v>200000</v>
      </c>
      <c r="AK87">
        <v>1000000</v>
      </c>
      <c r="AL87">
        <v>10000</v>
      </c>
      <c r="AM87">
        <v>10000</v>
      </c>
      <c r="AN87">
        <v>450.37</v>
      </c>
      <c r="AO87">
        <v>450.37</v>
      </c>
      <c r="AP87">
        <v>112.59</v>
      </c>
      <c r="AQ87">
        <v>56.3</v>
      </c>
      <c r="AR87">
        <v>56.3</v>
      </c>
      <c r="AS87" t="s">
        <v>86</v>
      </c>
      <c r="AT87" t="s">
        <v>86</v>
      </c>
      <c r="AU87">
        <v>0</v>
      </c>
      <c r="AV87">
        <v>0</v>
      </c>
    </row>
    <row r="88" spans="1:48" x14ac:dyDescent="0.3">
      <c r="A88">
        <v>4096</v>
      </c>
      <c r="B88" t="s">
        <v>104</v>
      </c>
      <c r="C88" t="s">
        <v>376</v>
      </c>
      <c r="D88" t="s">
        <v>377</v>
      </c>
      <c r="E88" t="s">
        <v>105</v>
      </c>
      <c r="F88" t="s">
        <v>97</v>
      </c>
      <c r="G88" t="s">
        <v>98</v>
      </c>
      <c r="H88">
        <v>0</v>
      </c>
      <c r="I88">
        <v>0</v>
      </c>
      <c r="J88" t="s">
        <v>106</v>
      </c>
      <c r="K88" t="s">
        <v>106</v>
      </c>
      <c r="N88" s="9">
        <v>46134</v>
      </c>
      <c r="O88">
        <v>10420</v>
      </c>
      <c r="P88">
        <v>9</v>
      </c>
      <c r="Q88">
        <v>128</v>
      </c>
      <c r="R88" t="s">
        <v>86</v>
      </c>
      <c r="S88" t="s">
        <v>87</v>
      </c>
      <c r="T88" t="s">
        <v>99</v>
      </c>
      <c r="U88" t="s">
        <v>837</v>
      </c>
      <c r="V88">
        <v>2026</v>
      </c>
      <c r="W88">
        <v>2026</v>
      </c>
      <c r="X88" t="s">
        <v>107</v>
      </c>
      <c r="Y88">
        <v>0</v>
      </c>
      <c r="Z88">
        <v>0</v>
      </c>
      <c r="AA88">
        <v>0</v>
      </c>
      <c r="AB88" t="s">
        <v>101</v>
      </c>
      <c r="AC88">
        <v>85</v>
      </c>
      <c r="AD88">
        <v>133248</v>
      </c>
      <c r="AE88" t="s">
        <v>117</v>
      </c>
      <c r="AF88">
        <v>1675.54</v>
      </c>
      <c r="AG88">
        <v>7049</v>
      </c>
      <c r="AH88">
        <v>0</v>
      </c>
      <c r="AI88">
        <v>1000000</v>
      </c>
      <c r="AJ88">
        <v>200000</v>
      </c>
      <c r="AK88">
        <v>1000000</v>
      </c>
      <c r="AL88">
        <v>10000</v>
      </c>
      <c r="AM88">
        <v>10000</v>
      </c>
      <c r="AN88">
        <v>450.37</v>
      </c>
      <c r="AO88">
        <v>450.37</v>
      </c>
      <c r="AP88">
        <v>112.59</v>
      </c>
      <c r="AQ88">
        <v>56.3</v>
      </c>
      <c r="AR88">
        <v>56.3</v>
      </c>
      <c r="AS88" t="s">
        <v>86</v>
      </c>
      <c r="AT88" t="s">
        <v>86</v>
      </c>
      <c r="AU88">
        <v>0</v>
      </c>
      <c r="AV88">
        <v>0</v>
      </c>
    </row>
    <row r="89" spans="1:48" x14ac:dyDescent="0.3">
      <c r="A89">
        <v>4098</v>
      </c>
      <c r="B89" t="s">
        <v>104</v>
      </c>
      <c r="C89" t="s">
        <v>378</v>
      </c>
      <c r="D89" t="s">
        <v>379</v>
      </c>
      <c r="E89" t="s">
        <v>105</v>
      </c>
      <c r="F89" t="s">
        <v>97</v>
      </c>
      <c r="G89" t="s">
        <v>98</v>
      </c>
      <c r="H89">
        <v>0</v>
      </c>
      <c r="I89">
        <v>0</v>
      </c>
      <c r="J89" t="s">
        <v>106</v>
      </c>
      <c r="K89" t="s">
        <v>106</v>
      </c>
      <c r="N89" s="9">
        <v>46134</v>
      </c>
      <c r="O89">
        <v>10420</v>
      </c>
      <c r="P89">
        <v>8</v>
      </c>
      <c r="Q89">
        <v>41</v>
      </c>
      <c r="R89" t="s">
        <v>86</v>
      </c>
      <c r="S89" t="s">
        <v>87</v>
      </c>
      <c r="T89" t="s">
        <v>102</v>
      </c>
      <c r="U89" t="s">
        <v>838</v>
      </c>
      <c r="V89">
        <v>2025</v>
      </c>
      <c r="W89">
        <v>2026</v>
      </c>
      <c r="X89" t="s">
        <v>107</v>
      </c>
      <c r="Y89">
        <v>0</v>
      </c>
      <c r="Z89">
        <v>0</v>
      </c>
      <c r="AA89">
        <v>0</v>
      </c>
      <c r="AB89" t="s">
        <v>101</v>
      </c>
      <c r="AC89">
        <v>85</v>
      </c>
      <c r="AD89">
        <v>112451</v>
      </c>
      <c r="AE89" t="s">
        <v>117</v>
      </c>
      <c r="AF89">
        <v>1675.54</v>
      </c>
      <c r="AG89">
        <v>7049</v>
      </c>
      <c r="AH89">
        <v>0</v>
      </c>
      <c r="AI89">
        <v>1000000</v>
      </c>
      <c r="AJ89">
        <v>200000</v>
      </c>
      <c r="AK89">
        <v>1000000</v>
      </c>
      <c r="AL89">
        <v>10000</v>
      </c>
      <c r="AM89">
        <v>10000</v>
      </c>
      <c r="AN89">
        <v>450.37</v>
      </c>
      <c r="AO89">
        <v>450.37</v>
      </c>
      <c r="AP89">
        <v>112.59</v>
      </c>
      <c r="AQ89">
        <v>56.3</v>
      </c>
      <c r="AR89">
        <v>56.3</v>
      </c>
      <c r="AS89" t="s">
        <v>86</v>
      </c>
      <c r="AT89" t="s">
        <v>86</v>
      </c>
      <c r="AU89">
        <v>0</v>
      </c>
      <c r="AV89">
        <v>0</v>
      </c>
    </row>
    <row r="90" spans="1:48" x14ac:dyDescent="0.3">
      <c r="A90">
        <v>4100</v>
      </c>
      <c r="B90" t="s">
        <v>104</v>
      </c>
      <c r="C90" t="s">
        <v>380</v>
      </c>
      <c r="D90" t="s">
        <v>381</v>
      </c>
      <c r="E90" t="s">
        <v>105</v>
      </c>
      <c r="F90" t="s">
        <v>149</v>
      </c>
      <c r="G90" t="s">
        <v>150</v>
      </c>
      <c r="H90">
        <v>0</v>
      </c>
      <c r="I90">
        <v>0</v>
      </c>
      <c r="J90" t="s">
        <v>106</v>
      </c>
      <c r="K90" t="s">
        <v>106</v>
      </c>
      <c r="N90" s="9">
        <v>46135</v>
      </c>
      <c r="O90">
        <v>10681</v>
      </c>
      <c r="P90">
        <v>1</v>
      </c>
      <c r="Q90">
        <v>7</v>
      </c>
      <c r="R90" t="s">
        <v>86</v>
      </c>
      <c r="S90" t="s">
        <v>87</v>
      </c>
      <c r="T90" t="s">
        <v>89</v>
      </c>
      <c r="U90" t="s">
        <v>834</v>
      </c>
      <c r="V90">
        <v>2026</v>
      </c>
      <c r="W90">
        <v>2026</v>
      </c>
      <c r="X90" t="s">
        <v>107</v>
      </c>
      <c r="Y90">
        <v>0</v>
      </c>
      <c r="Z90">
        <v>0</v>
      </c>
      <c r="AA90">
        <v>0</v>
      </c>
      <c r="AB90" t="s">
        <v>88</v>
      </c>
      <c r="AC90">
        <v>85</v>
      </c>
      <c r="AD90">
        <v>84669</v>
      </c>
      <c r="AE90" t="s">
        <v>108</v>
      </c>
      <c r="AF90">
        <v>1825.9</v>
      </c>
      <c r="AG90">
        <v>5050.3500000000004</v>
      </c>
      <c r="AH90">
        <v>0</v>
      </c>
      <c r="AI90">
        <v>150000</v>
      </c>
      <c r="AJ90">
        <v>0</v>
      </c>
      <c r="AK90">
        <v>150000</v>
      </c>
      <c r="AL90">
        <v>10000</v>
      </c>
      <c r="AM90">
        <v>10000</v>
      </c>
      <c r="AN90">
        <v>521.69000000000005</v>
      </c>
      <c r="AO90">
        <v>0</v>
      </c>
      <c r="AP90">
        <v>130.41999999999999</v>
      </c>
      <c r="AQ90">
        <v>65.209999999999994</v>
      </c>
      <c r="AR90">
        <v>65.209999999999994</v>
      </c>
      <c r="AS90" t="s">
        <v>86</v>
      </c>
      <c r="AT90" t="s">
        <v>86</v>
      </c>
      <c r="AU90">
        <v>0</v>
      </c>
      <c r="AV90">
        <v>0</v>
      </c>
    </row>
    <row r="91" spans="1:48" x14ac:dyDescent="0.3">
      <c r="A91">
        <v>4101</v>
      </c>
      <c r="B91" t="s">
        <v>104</v>
      </c>
      <c r="C91" t="s">
        <v>384</v>
      </c>
      <c r="D91" t="s">
        <v>385</v>
      </c>
      <c r="E91" t="s">
        <v>105</v>
      </c>
      <c r="F91" t="s">
        <v>382</v>
      </c>
      <c r="G91" t="s">
        <v>383</v>
      </c>
      <c r="H91">
        <v>0</v>
      </c>
      <c r="I91">
        <v>0</v>
      </c>
      <c r="J91" t="s">
        <v>106</v>
      </c>
      <c r="K91" t="s">
        <v>106</v>
      </c>
      <c r="N91" s="9">
        <v>46135</v>
      </c>
      <c r="O91">
        <v>10672</v>
      </c>
      <c r="P91">
        <v>1</v>
      </c>
      <c r="Q91">
        <v>1</v>
      </c>
      <c r="R91" t="s">
        <v>86</v>
      </c>
      <c r="S91" t="s">
        <v>87</v>
      </c>
      <c r="T91" t="s">
        <v>123</v>
      </c>
      <c r="U91" t="s">
        <v>835</v>
      </c>
      <c r="V91">
        <v>2025</v>
      </c>
      <c r="W91">
        <v>2025</v>
      </c>
      <c r="X91" t="s">
        <v>112</v>
      </c>
      <c r="Y91">
        <v>0</v>
      </c>
      <c r="Z91">
        <v>0</v>
      </c>
      <c r="AA91">
        <v>0</v>
      </c>
      <c r="AB91" t="s">
        <v>125</v>
      </c>
      <c r="AC91">
        <v>85</v>
      </c>
      <c r="AD91">
        <v>431520</v>
      </c>
      <c r="AE91" t="s">
        <v>113</v>
      </c>
      <c r="AF91">
        <v>2783.8</v>
      </c>
      <c r="AG91">
        <v>17499.5</v>
      </c>
      <c r="AH91">
        <v>0</v>
      </c>
      <c r="AI91">
        <v>300000</v>
      </c>
      <c r="AJ91">
        <v>0</v>
      </c>
      <c r="AK91">
        <v>300000</v>
      </c>
      <c r="AL91">
        <v>10000</v>
      </c>
      <c r="AM91">
        <v>10000</v>
      </c>
      <c r="AN91">
        <v>795.37</v>
      </c>
      <c r="AO91">
        <v>0</v>
      </c>
      <c r="AP91">
        <v>198.84</v>
      </c>
      <c r="AQ91">
        <v>99.42</v>
      </c>
      <c r="AR91">
        <v>99.42</v>
      </c>
      <c r="AS91" t="s">
        <v>86</v>
      </c>
      <c r="AT91" t="s">
        <v>86</v>
      </c>
      <c r="AU91">
        <v>0</v>
      </c>
      <c r="AV91">
        <v>0</v>
      </c>
    </row>
    <row r="92" spans="1:48" x14ac:dyDescent="0.3">
      <c r="A92">
        <v>4102</v>
      </c>
      <c r="B92" t="s">
        <v>104</v>
      </c>
      <c r="C92" t="s">
        <v>386</v>
      </c>
      <c r="D92" t="s">
        <v>387</v>
      </c>
      <c r="E92" t="s">
        <v>105</v>
      </c>
      <c r="F92" t="s">
        <v>149</v>
      </c>
      <c r="G92" t="s">
        <v>150</v>
      </c>
      <c r="H92">
        <v>0</v>
      </c>
      <c r="I92">
        <v>0</v>
      </c>
      <c r="J92" t="s">
        <v>106</v>
      </c>
      <c r="K92" t="s">
        <v>106</v>
      </c>
      <c r="N92" s="9">
        <v>46135</v>
      </c>
      <c r="O92">
        <v>10681</v>
      </c>
      <c r="P92">
        <v>1</v>
      </c>
      <c r="Q92">
        <v>8</v>
      </c>
      <c r="R92" t="s">
        <v>86</v>
      </c>
      <c r="S92" t="s">
        <v>87</v>
      </c>
      <c r="T92" t="s">
        <v>89</v>
      </c>
      <c r="U92" t="s">
        <v>834</v>
      </c>
      <c r="V92">
        <v>2026</v>
      </c>
      <c r="W92">
        <v>2026</v>
      </c>
      <c r="X92" t="s">
        <v>107</v>
      </c>
      <c r="Y92">
        <v>0</v>
      </c>
      <c r="Z92">
        <v>0</v>
      </c>
      <c r="AA92">
        <v>0</v>
      </c>
      <c r="AB92" t="s">
        <v>88</v>
      </c>
      <c r="AC92">
        <v>85</v>
      </c>
      <c r="AD92">
        <v>84669</v>
      </c>
      <c r="AE92" t="s">
        <v>108</v>
      </c>
      <c r="AF92">
        <v>1825.9</v>
      </c>
      <c r="AG92">
        <v>5050.3500000000004</v>
      </c>
      <c r="AH92">
        <v>0</v>
      </c>
      <c r="AI92">
        <v>150000</v>
      </c>
      <c r="AJ92">
        <v>0</v>
      </c>
      <c r="AK92">
        <v>150000</v>
      </c>
      <c r="AL92">
        <v>10000</v>
      </c>
      <c r="AM92">
        <v>10000</v>
      </c>
      <c r="AN92">
        <v>521.69000000000005</v>
      </c>
      <c r="AO92">
        <v>0</v>
      </c>
      <c r="AP92">
        <v>130.41999999999999</v>
      </c>
      <c r="AQ92">
        <v>65.209999999999994</v>
      </c>
      <c r="AR92">
        <v>65.209999999999994</v>
      </c>
      <c r="AS92" t="s">
        <v>86</v>
      </c>
      <c r="AT92" t="s">
        <v>86</v>
      </c>
      <c r="AU92">
        <v>0</v>
      </c>
      <c r="AV92">
        <v>0</v>
      </c>
    </row>
    <row r="93" spans="1:48" x14ac:dyDescent="0.3">
      <c r="A93">
        <v>4103</v>
      </c>
      <c r="B93" t="s">
        <v>104</v>
      </c>
      <c r="C93" t="s">
        <v>388</v>
      </c>
      <c r="D93" t="s">
        <v>389</v>
      </c>
      <c r="E93" t="s">
        <v>105</v>
      </c>
      <c r="F93" t="s">
        <v>149</v>
      </c>
      <c r="G93" t="s">
        <v>150</v>
      </c>
      <c r="H93">
        <v>0</v>
      </c>
      <c r="I93">
        <v>0</v>
      </c>
      <c r="J93" t="s">
        <v>106</v>
      </c>
      <c r="K93" t="s">
        <v>106</v>
      </c>
      <c r="N93" s="9">
        <v>46135</v>
      </c>
      <c r="O93">
        <v>10681</v>
      </c>
      <c r="P93">
        <v>1</v>
      </c>
      <c r="Q93">
        <v>9</v>
      </c>
      <c r="R93" t="s">
        <v>86</v>
      </c>
      <c r="S93" t="s">
        <v>87</v>
      </c>
      <c r="T93" t="s">
        <v>89</v>
      </c>
      <c r="U93" t="s">
        <v>834</v>
      </c>
      <c r="V93">
        <v>2026</v>
      </c>
      <c r="W93">
        <v>2026</v>
      </c>
      <c r="X93" t="s">
        <v>107</v>
      </c>
      <c r="Y93">
        <v>0</v>
      </c>
      <c r="Z93">
        <v>0</v>
      </c>
      <c r="AA93">
        <v>0</v>
      </c>
      <c r="AB93" t="s">
        <v>88</v>
      </c>
      <c r="AC93">
        <v>85</v>
      </c>
      <c r="AD93">
        <v>84669</v>
      </c>
      <c r="AE93" t="s">
        <v>108</v>
      </c>
      <c r="AF93">
        <v>1825.9</v>
      </c>
      <c r="AG93">
        <v>5050.3500000000004</v>
      </c>
      <c r="AH93">
        <v>0</v>
      </c>
      <c r="AI93">
        <v>150000</v>
      </c>
      <c r="AJ93">
        <v>0</v>
      </c>
      <c r="AK93">
        <v>150000</v>
      </c>
      <c r="AL93">
        <v>10000</v>
      </c>
      <c r="AM93">
        <v>10000</v>
      </c>
      <c r="AN93">
        <v>521.69000000000005</v>
      </c>
      <c r="AO93">
        <v>0</v>
      </c>
      <c r="AP93">
        <v>130.41999999999999</v>
      </c>
      <c r="AQ93">
        <v>65.209999999999994</v>
      </c>
      <c r="AR93">
        <v>65.209999999999994</v>
      </c>
      <c r="AS93" t="s">
        <v>86</v>
      </c>
      <c r="AT93" t="s">
        <v>86</v>
      </c>
      <c r="AU93">
        <v>0</v>
      </c>
      <c r="AV93">
        <v>0</v>
      </c>
    </row>
    <row r="94" spans="1:48" x14ac:dyDescent="0.3">
      <c r="A94">
        <v>4104</v>
      </c>
      <c r="B94" t="s">
        <v>104</v>
      </c>
      <c r="C94" t="s">
        <v>390</v>
      </c>
      <c r="D94" t="s">
        <v>391</v>
      </c>
      <c r="E94" t="s">
        <v>105</v>
      </c>
      <c r="F94" t="s">
        <v>149</v>
      </c>
      <c r="G94" t="s">
        <v>150</v>
      </c>
      <c r="H94">
        <v>0</v>
      </c>
      <c r="I94">
        <v>0</v>
      </c>
      <c r="J94" t="s">
        <v>106</v>
      </c>
      <c r="K94" t="s">
        <v>106</v>
      </c>
      <c r="N94" s="9">
        <v>46135</v>
      </c>
      <c r="O94">
        <v>10681</v>
      </c>
      <c r="P94">
        <v>1</v>
      </c>
      <c r="Q94">
        <v>10</v>
      </c>
      <c r="R94" t="s">
        <v>86</v>
      </c>
      <c r="S94" t="s">
        <v>87</v>
      </c>
      <c r="T94" t="s">
        <v>89</v>
      </c>
      <c r="U94" t="s">
        <v>834</v>
      </c>
      <c r="V94">
        <v>2026</v>
      </c>
      <c r="W94">
        <v>2026</v>
      </c>
      <c r="X94" t="s">
        <v>107</v>
      </c>
      <c r="Y94">
        <v>0</v>
      </c>
      <c r="Z94">
        <v>0</v>
      </c>
      <c r="AA94">
        <v>0</v>
      </c>
      <c r="AB94" t="s">
        <v>88</v>
      </c>
      <c r="AC94">
        <v>85</v>
      </c>
      <c r="AD94">
        <v>84669</v>
      </c>
      <c r="AE94" t="s">
        <v>108</v>
      </c>
      <c r="AF94">
        <v>1825.9</v>
      </c>
      <c r="AG94">
        <v>5050.3500000000004</v>
      </c>
      <c r="AH94">
        <v>0</v>
      </c>
      <c r="AI94">
        <v>150000</v>
      </c>
      <c r="AJ94">
        <v>0</v>
      </c>
      <c r="AK94">
        <v>150000</v>
      </c>
      <c r="AL94">
        <v>10000</v>
      </c>
      <c r="AM94">
        <v>10000</v>
      </c>
      <c r="AN94">
        <v>521.69000000000005</v>
      </c>
      <c r="AO94">
        <v>0</v>
      </c>
      <c r="AP94">
        <v>130.41999999999999</v>
      </c>
      <c r="AQ94">
        <v>65.209999999999994</v>
      </c>
      <c r="AR94">
        <v>65.209999999999994</v>
      </c>
      <c r="AS94" t="s">
        <v>86</v>
      </c>
      <c r="AT94" t="s">
        <v>86</v>
      </c>
      <c r="AU94">
        <v>0</v>
      </c>
      <c r="AV94">
        <v>0</v>
      </c>
    </row>
    <row r="95" spans="1:48" x14ac:dyDescent="0.3">
      <c r="A95">
        <v>4105</v>
      </c>
      <c r="B95" t="s">
        <v>104</v>
      </c>
      <c r="C95" t="s">
        <v>392</v>
      </c>
      <c r="D95" t="s">
        <v>393</v>
      </c>
      <c r="E95" t="s">
        <v>105</v>
      </c>
      <c r="F95" t="s">
        <v>149</v>
      </c>
      <c r="G95" t="s">
        <v>150</v>
      </c>
      <c r="H95">
        <v>0</v>
      </c>
      <c r="I95">
        <v>0</v>
      </c>
      <c r="J95" t="s">
        <v>106</v>
      </c>
      <c r="K95" t="s">
        <v>106</v>
      </c>
      <c r="N95" s="9">
        <v>46135</v>
      </c>
      <c r="O95">
        <v>10681</v>
      </c>
      <c r="P95">
        <v>1</v>
      </c>
      <c r="Q95">
        <v>11</v>
      </c>
      <c r="R95" t="s">
        <v>86</v>
      </c>
      <c r="S95" t="s">
        <v>87</v>
      </c>
      <c r="T95" t="s">
        <v>89</v>
      </c>
      <c r="U95" t="s">
        <v>834</v>
      </c>
      <c r="V95">
        <v>2026</v>
      </c>
      <c r="W95">
        <v>2026</v>
      </c>
      <c r="X95" t="s">
        <v>107</v>
      </c>
      <c r="Y95">
        <v>0</v>
      </c>
      <c r="Z95">
        <v>0</v>
      </c>
      <c r="AA95">
        <v>0</v>
      </c>
      <c r="AB95" t="s">
        <v>88</v>
      </c>
      <c r="AC95">
        <v>85</v>
      </c>
      <c r="AD95">
        <v>84669</v>
      </c>
      <c r="AE95" t="s">
        <v>108</v>
      </c>
      <c r="AF95">
        <v>1825.9</v>
      </c>
      <c r="AG95">
        <v>5050.3500000000004</v>
      </c>
      <c r="AH95">
        <v>0</v>
      </c>
      <c r="AI95">
        <v>150000</v>
      </c>
      <c r="AJ95">
        <v>0</v>
      </c>
      <c r="AK95">
        <v>150000</v>
      </c>
      <c r="AL95">
        <v>10000</v>
      </c>
      <c r="AM95">
        <v>10000</v>
      </c>
      <c r="AN95">
        <v>521.69000000000005</v>
      </c>
      <c r="AO95">
        <v>0</v>
      </c>
      <c r="AP95">
        <v>130.41999999999999</v>
      </c>
      <c r="AQ95">
        <v>65.209999999999994</v>
      </c>
      <c r="AR95">
        <v>65.209999999999994</v>
      </c>
      <c r="AS95" t="s">
        <v>86</v>
      </c>
      <c r="AT95" t="s">
        <v>86</v>
      </c>
      <c r="AU95">
        <v>0</v>
      </c>
      <c r="AV95">
        <v>0</v>
      </c>
    </row>
    <row r="96" spans="1:48" x14ac:dyDescent="0.3">
      <c r="A96">
        <v>4106</v>
      </c>
      <c r="B96" t="s">
        <v>104</v>
      </c>
      <c r="C96" t="s">
        <v>394</v>
      </c>
      <c r="D96" t="s">
        <v>395</v>
      </c>
      <c r="E96" t="s">
        <v>105</v>
      </c>
      <c r="F96" t="s">
        <v>149</v>
      </c>
      <c r="G96" t="s">
        <v>150</v>
      </c>
      <c r="H96">
        <v>0</v>
      </c>
      <c r="I96">
        <v>0</v>
      </c>
      <c r="J96" t="s">
        <v>106</v>
      </c>
      <c r="K96" t="s">
        <v>106</v>
      </c>
      <c r="N96" s="9">
        <v>46135</v>
      </c>
      <c r="O96">
        <v>10681</v>
      </c>
      <c r="P96">
        <v>1</v>
      </c>
      <c r="Q96">
        <v>12</v>
      </c>
      <c r="R96" t="s">
        <v>86</v>
      </c>
      <c r="S96" t="s">
        <v>87</v>
      </c>
      <c r="T96" t="s">
        <v>89</v>
      </c>
      <c r="U96" t="s">
        <v>834</v>
      </c>
      <c r="V96">
        <v>2026</v>
      </c>
      <c r="W96">
        <v>2026</v>
      </c>
      <c r="X96" t="s">
        <v>107</v>
      </c>
      <c r="Y96">
        <v>0</v>
      </c>
      <c r="Z96">
        <v>0</v>
      </c>
      <c r="AA96">
        <v>0</v>
      </c>
      <c r="AB96" t="s">
        <v>88</v>
      </c>
      <c r="AC96">
        <v>85</v>
      </c>
      <c r="AD96">
        <v>84669</v>
      </c>
      <c r="AE96" t="s">
        <v>108</v>
      </c>
      <c r="AF96">
        <v>1825.9</v>
      </c>
      <c r="AG96">
        <v>5050.3500000000004</v>
      </c>
      <c r="AH96">
        <v>0</v>
      </c>
      <c r="AI96">
        <v>150000</v>
      </c>
      <c r="AJ96">
        <v>0</v>
      </c>
      <c r="AK96">
        <v>150000</v>
      </c>
      <c r="AL96">
        <v>10000</v>
      </c>
      <c r="AM96">
        <v>10000</v>
      </c>
      <c r="AN96">
        <v>521.69000000000005</v>
      </c>
      <c r="AO96">
        <v>0</v>
      </c>
      <c r="AP96">
        <v>130.41999999999999</v>
      </c>
      <c r="AQ96">
        <v>65.209999999999994</v>
      </c>
      <c r="AR96">
        <v>65.209999999999994</v>
      </c>
      <c r="AS96" t="s">
        <v>86</v>
      </c>
      <c r="AT96" t="s">
        <v>86</v>
      </c>
      <c r="AU96">
        <v>0</v>
      </c>
      <c r="AV96">
        <v>0</v>
      </c>
    </row>
    <row r="97" spans="1:48" x14ac:dyDescent="0.3">
      <c r="A97">
        <v>4107</v>
      </c>
      <c r="B97" t="s">
        <v>104</v>
      </c>
      <c r="C97" t="s">
        <v>396</v>
      </c>
      <c r="D97" t="s">
        <v>397</v>
      </c>
      <c r="E97" t="s">
        <v>105</v>
      </c>
      <c r="F97" t="s">
        <v>149</v>
      </c>
      <c r="G97" t="s">
        <v>150</v>
      </c>
      <c r="H97">
        <v>0</v>
      </c>
      <c r="I97">
        <v>0</v>
      </c>
      <c r="J97" t="s">
        <v>106</v>
      </c>
      <c r="K97" t="s">
        <v>106</v>
      </c>
      <c r="N97" s="9">
        <v>46135</v>
      </c>
      <c r="O97">
        <v>10681</v>
      </c>
      <c r="P97">
        <v>1</v>
      </c>
      <c r="Q97">
        <v>13</v>
      </c>
      <c r="R97" t="s">
        <v>86</v>
      </c>
      <c r="S97" t="s">
        <v>87</v>
      </c>
      <c r="T97" t="s">
        <v>89</v>
      </c>
      <c r="U97" t="s">
        <v>834</v>
      </c>
      <c r="V97">
        <v>2026</v>
      </c>
      <c r="W97">
        <v>2026</v>
      </c>
      <c r="X97" t="s">
        <v>107</v>
      </c>
      <c r="Y97">
        <v>0</v>
      </c>
      <c r="Z97">
        <v>0</v>
      </c>
      <c r="AA97">
        <v>0</v>
      </c>
      <c r="AB97" t="s">
        <v>88</v>
      </c>
      <c r="AC97">
        <v>85</v>
      </c>
      <c r="AD97">
        <v>84669</v>
      </c>
      <c r="AE97" t="s">
        <v>108</v>
      </c>
      <c r="AF97">
        <v>1825.9</v>
      </c>
      <c r="AG97">
        <v>5050.3500000000004</v>
      </c>
      <c r="AH97">
        <v>0</v>
      </c>
      <c r="AI97">
        <v>150000</v>
      </c>
      <c r="AJ97">
        <v>0</v>
      </c>
      <c r="AK97">
        <v>150000</v>
      </c>
      <c r="AL97">
        <v>10000</v>
      </c>
      <c r="AM97">
        <v>10000</v>
      </c>
      <c r="AN97">
        <v>521.69000000000005</v>
      </c>
      <c r="AO97">
        <v>0</v>
      </c>
      <c r="AP97">
        <v>130.41999999999999</v>
      </c>
      <c r="AQ97">
        <v>65.209999999999994</v>
      </c>
      <c r="AR97">
        <v>65.209999999999994</v>
      </c>
      <c r="AS97" t="s">
        <v>86</v>
      </c>
      <c r="AT97" t="s">
        <v>86</v>
      </c>
      <c r="AU97">
        <v>0</v>
      </c>
      <c r="AV97">
        <v>0</v>
      </c>
    </row>
    <row r="98" spans="1:48" x14ac:dyDescent="0.3">
      <c r="A98">
        <v>4108</v>
      </c>
      <c r="B98" t="s">
        <v>104</v>
      </c>
      <c r="C98" t="s">
        <v>398</v>
      </c>
      <c r="D98" t="s">
        <v>399</v>
      </c>
      <c r="E98" t="s">
        <v>105</v>
      </c>
      <c r="F98" t="s">
        <v>149</v>
      </c>
      <c r="G98" t="s">
        <v>150</v>
      </c>
      <c r="H98">
        <v>0</v>
      </c>
      <c r="I98">
        <v>0</v>
      </c>
      <c r="J98" t="s">
        <v>106</v>
      </c>
      <c r="K98" t="s">
        <v>106</v>
      </c>
      <c r="N98" s="9">
        <v>46135</v>
      </c>
      <c r="O98">
        <v>10681</v>
      </c>
      <c r="P98">
        <v>1</v>
      </c>
      <c r="Q98">
        <v>14</v>
      </c>
      <c r="R98" t="s">
        <v>86</v>
      </c>
      <c r="S98" t="s">
        <v>87</v>
      </c>
      <c r="T98" t="s">
        <v>89</v>
      </c>
      <c r="U98" t="s">
        <v>834</v>
      </c>
      <c r="V98">
        <v>2026</v>
      </c>
      <c r="W98">
        <v>2026</v>
      </c>
      <c r="X98" t="s">
        <v>107</v>
      </c>
      <c r="Y98">
        <v>0</v>
      </c>
      <c r="Z98">
        <v>0</v>
      </c>
      <c r="AA98">
        <v>0</v>
      </c>
      <c r="AB98" t="s">
        <v>88</v>
      </c>
      <c r="AC98">
        <v>85</v>
      </c>
      <c r="AD98">
        <v>84669</v>
      </c>
      <c r="AE98" t="s">
        <v>108</v>
      </c>
      <c r="AF98">
        <v>1825.9</v>
      </c>
      <c r="AG98">
        <v>5050.3500000000004</v>
      </c>
      <c r="AH98">
        <v>0</v>
      </c>
      <c r="AI98">
        <v>150000</v>
      </c>
      <c r="AJ98">
        <v>0</v>
      </c>
      <c r="AK98">
        <v>150000</v>
      </c>
      <c r="AL98">
        <v>10000</v>
      </c>
      <c r="AM98">
        <v>10000</v>
      </c>
      <c r="AN98">
        <v>521.69000000000005</v>
      </c>
      <c r="AO98">
        <v>0</v>
      </c>
      <c r="AP98">
        <v>130.41999999999999</v>
      </c>
      <c r="AQ98">
        <v>65.209999999999994</v>
      </c>
      <c r="AR98">
        <v>65.209999999999994</v>
      </c>
      <c r="AS98" t="s">
        <v>86</v>
      </c>
      <c r="AT98" t="s">
        <v>86</v>
      </c>
      <c r="AU98">
        <v>0</v>
      </c>
      <c r="AV98">
        <v>0</v>
      </c>
    </row>
    <row r="99" spans="1:48" x14ac:dyDescent="0.3">
      <c r="A99">
        <v>4110</v>
      </c>
      <c r="B99" t="s">
        <v>104</v>
      </c>
      <c r="C99" t="s">
        <v>402</v>
      </c>
      <c r="D99" t="s">
        <v>403</v>
      </c>
      <c r="E99" t="s">
        <v>138</v>
      </c>
      <c r="F99" t="s">
        <v>400</v>
      </c>
      <c r="G99" t="s">
        <v>401</v>
      </c>
      <c r="H99">
        <v>0</v>
      </c>
      <c r="I99">
        <v>0</v>
      </c>
      <c r="J99" t="s">
        <v>106</v>
      </c>
      <c r="K99" t="s">
        <v>106</v>
      </c>
      <c r="N99" s="9">
        <v>46135</v>
      </c>
      <c r="O99">
        <v>10641</v>
      </c>
      <c r="P99">
        <v>1</v>
      </c>
      <c r="Q99">
        <v>1</v>
      </c>
      <c r="R99" t="s">
        <v>86</v>
      </c>
      <c r="S99" t="s">
        <v>87</v>
      </c>
      <c r="T99" t="s">
        <v>91</v>
      </c>
      <c r="U99" t="s">
        <v>111</v>
      </c>
      <c r="V99">
        <v>2024</v>
      </c>
      <c r="W99">
        <v>2024</v>
      </c>
      <c r="X99" t="s">
        <v>112</v>
      </c>
      <c r="Y99">
        <v>0</v>
      </c>
      <c r="Z99">
        <v>0</v>
      </c>
      <c r="AA99">
        <v>0</v>
      </c>
      <c r="AB99" t="s">
        <v>93</v>
      </c>
      <c r="AC99">
        <v>85</v>
      </c>
      <c r="AD99">
        <v>450414</v>
      </c>
      <c r="AE99" t="s">
        <v>108</v>
      </c>
      <c r="AF99">
        <v>3870.96</v>
      </c>
      <c r="AG99">
        <v>24455.05</v>
      </c>
      <c r="AH99">
        <v>0</v>
      </c>
      <c r="AI99">
        <v>150000</v>
      </c>
      <c r="AJ99">
        <v>0</v>
      </c>
      <c r="AK99">
        <v>150000</v>
      </c>
      <c r="AL99">
        <v>10000</v>
      </c>
      <c r="AM99">
        <v>10000</v>
      </c>
      <c r="AN99">
        <v>1105.99</v>
      </c>
      <c r="AO99">
        <v>0</v>
      </c>
      <c r="AP99">
        <v>276.5</v>
      </c>
      <c r="AQ99">
        <v>138.25</v>
      </c>
      <c r="AR99">
        <v>138.25</v>
      </c>
      <c r="AS99" t="s">
        <v>86</v>
      </c>
      <c r="AT99" t="s">
        <v>86</v>
      </c>
      <c r="AU99">
        <v>0</v>
      </c>
      <c r="AV99">
        <v>0</v>
      </c>
    </row>
    <row r="100" spans="1:48" x14ac:dyDescent="0.3">
      <c r="A100">
        <v>4111</v>
      </c>
      <c r="B100" t="s">
        <v>104</v>
      </c>
      <c r="C100" t="s">
        <v>404</v>
      </c>
      <c r="D100" t="s">
        <v>405</v>
      </c>
      <c r="E100" t="s">
        <v>105</v>
      </c>
      <c r="F100" t="s">
        <v>149</v>
      </c>
      <c r="G100" t="s">
        <v>150</v>
      </c>
      <c r="H100">
        <v>0</v>
      </c>
      <c r="I100">
        <v>0</v>
      </c>
      <c r="J100" t="s">
        <v>106</v>
      </c>
      <c r="K100" t="s">
        <v>106</v>
      </c>
      <c r="N100" s="9">
        <v>46135</v>
      </c>
      <c r="O100">
        <v>10681</v>
      </c>
      <c r="P100">
        <v>1</v>
      </c>
      <c r="Q100">
        <v>15</v>
      </c>
      <c r="R100" t="s">
        <v>86</v>
      </c>
      <c r="S100" t="s">
        <v>87</v>
      </c>
      <c r="T100" t="s">
        <v>89</v>
      </c>
      <c r="U100" t="s">
        <v>839</v>
      </c>
      <c r="V100">
        <v>2026</v>
      </c>
      <c r="W100">
        <v>2026</v>
      </c>
      <c r="X100" t="s">
        <v>107</v>
      </c>
      <c r="Y100">
        <v>0</v>
      </c>
      <c r="Z100">
        <v>0</v>
      </c>
      <c r="AA100">
        <v>0</v>
      </c>
      <c r="AB100" t="s">
        <v>88</v>
      </c>
      <c r="AC100">
        <v>85</v>
      </c>
      <c r="AD100">
        <v>84669</v>
      </c>
      <c r="AE100" t="s">
        <v>108</v>
      </c>
      <c r="AF100">
        <v>1825.9</v>
      </c>
      <c r="AG100">
        <v>5050.3500000000004</v>
      </c>
      <c r="AH100">
        <v>0</v>
      </c>
      <c r="AI100">
        <v>150000</v>
      </c>
      <c r="AJ100">
        <v>0</v>
      </c>
      <c r="AK100">
        <v>150000</v>
      </c>
      <c r="AL100">
        <v>10000</v>
      </c>
      <c r="AM100">
        <v>10000</v>
      </c>
      <c r="AN100">
        <v>521.69000000000005</v>
      </c>
      <c r="AO100">
        <v>0</v>
      </c>
      <c r="AP100">
        <v>130.41999999999999</v>
      </c>
      <c r="AQ100">
        <v>65.209999999999994</v>
      </c>
      <c r="AR100">
        <v>65.209999999999994</v>
      </c>
      <c r="AS100" t="s">
        <v>86</v>
      </c>
      <c r="AT100" t="s">
        <v>86</v>
      </c>
      <c r="AU100">
        <v>0</v>
      </c>
      <c r="AV100">
        <v>0</v>
      </c>
    </row>
    <row r="101" spans="1:48" x14ac:dyDescent="0.3">
      <c r="A101">
        <v>4112</v>
      </c>
      <c r="B101" t="s">
        <v>104</v>
      </c>
      <c r="C101" t="s">
        <v>406</v>
      </c>
      <c r="D101" t="s">
        <v>407</v>
      </c>
      <c r="E101" t="s">
        <v>105</v>
      </c>
      <c r="F101" t="s">
        <v>149</v>
      </c>
      <c r="G101" t="s">
        <v>150</v>
      </c>
      <c r="H101">
        <v>0</v>
      </c>
      <c r="I101">
        <v>0</v>
      </c>
      <c r="J101" t="s">
        <v>106</v>
      </c>
      <c r="K101" t="s">
        <v>106</v>
      </c>
      <c r="N101" s="9">
        <v>46135</v>
      </c>
      <c r="O101">
        <v>10681</v>
      </c>
      <c r="P101">
        <v>1</v>
      </c>
      <c r="Q101">
        <v>16</v>
      </c>
      <c r="R101" t="s">
        <v>86</v>
      </c>
      <c r="S101" t="s">
        <v>87</v>
      </c>
      <c r="T101" t="s">
        <v>89</v>
      </c>
      <c r="U101" t="s">
        <v>839</v>
      </c>
      <c r="V101">
        <v>2026</v>
      </c>
      <c r="W101">
        <v>2026</v>
      </c>
      <c r="X101" t="s">
        <v>107</v>
      </c>
      <c r="Y101">
        <v>0</v>
      </c>
      <c r="Z101">
        <v>0</v>
      </c>
      <c r="AA101">
        <v>0</v>
      </c>
      <c r="AB101" t="s">
        <v>88</v>
      </c>
      <c r="AC101">
        <v>85</v>
      </c>
      <c r="AD101">
        <v>84669</v>
      </c>
      <c r="AE101" t="s">
        <v>108</v>
      </c>
      <c r="AF101">
        <v>1825.9</v>
      </c>
      <c r="AG101">
        <v>5050.3500000000004</v>
      </c>
      <c r="AH101">
        <v>0</v>
      </c>
      <c r="AI101">
        <v>150000</v>
      </c>
      <c r="AJ101">
        <v>0</v>
      </c>
      <c r="AK101">
        <v>150000</v>
      </c>
      <c r="AL101">
        <v>10000</v>
      </c>
      <c r="AM101">
        <v>10000</v>
      </c>
      <c r="AN101">
        <v>521.69000000000005</v>
      </c>
      <c r="AO101">
        <v>0</v>
      </c>
      <c r="AP101">
        <v>130.41999999999999</v>
      </c>
      <c r="AQ101">
        <v>65.209999999999994</v>
      </c>
      <c r="AR101">
        <v>65.209999999999994</v>
      </c>
      <c r="AS101" t="s">
        <v>86</v>
      </c>
      <c r="AT101" t="s">
        <v>86</v>
      </c>
      <c r="AU101">
        <v>0</v>
      </c>
      <c r="AV101">
        <v>0</v>
      </c>
    </row>
    <row r="102" spans="1:48" x14ac:dyDescent="0.3">
      <c r="A102">
        <v>4113</v>
      </c>
      <c r="B102" t="s">
        <v>104</v>
      </c>
      <c r="C102" t="s">
        <v>408</v>
      </c>
      <c r="D102" t="s">
        <v>409</v>
      </c>
      <c r="E102" t="s">
        <v>105</v>
      </c>
      <c r="F102" t="s">
        <v>149</v>
      </c>
      <c r="G102" t="s">
        <v>150</v>
      </c>
      <c r="H102">
        <v>0</v>
      </c>
      <c r="I102">
        <v>0</v>
      </c>
      <c r="J102" t="s">
        <v>106</v>
      </c>
      <c r="K102" t="s">
        <v>106</v>
      </c>
      <c r="N102" s="9">
        <v>46135</v>
      </c>
      <c r="O102">
        <v>10681</v>
      </c>
      <c r="P102">
        <v>1</v>
      </c>
      <c r="Q102">
        <v>17</v>
      </c>
      <c r="R102" t="s">
        <v>86</v>
      </c>
      <c r="S102" t="s">
        <v>87</v>
      </c>
      <c r="T102" t="s">
        <v>89</v>
      </c>
      <c r="U102" t="s">
        <v>839</v>
      </c>
      <c r="V102">
        <v>2026</v>
      </c>
      <c r="W102">
        <v>2026</v>
      </c>
      <c r="X102" t="s">
        <v>107</v>
      </c>
      <c r="Y102">
        <v>0</v>
      </c>
      <c r="Z102">
        <v>0</v>
      </c>
      <c r="AA102">
        <v>0</v>
      </c>
      <c r="AB102" t="s">
        <v>88</v>
      </c>
      <c r="AC102">
        <v>85</v>
      </c>
      <c r="AD102">
        <v>84669</v>
      </c>
      <c r="AE102" t="s">
        <v>108</v>
      </c>
      <c r="AF102">
        <v>1825.9</v>
      </c>
      <c r="AG102">
        <v>5050.3500000000004</v>
      </c>
      <c r="AH102">
        <v>0</v>
      </c>
      <c r="AI102">
        <v>150000</v>
      </c>
      <c r="AJ102">
        <v>0</v>
      </c>
      <c r="AK102">
        <v>150000</v>
      </c>
      <c r="AL102">
        <v>10000</v>
      </c>
      <c r="AM102">
        <v>10000</v>
      </c>
      <c r="AN102">
        <v>521.69000000000005</v>
      </c>
      <c r="AO102">
        <v>0</v>
      </c>
      <c r="AP102">
        <v>130.41999999999999</v>
      </c>
      <c r="AQ102">
        <v>65.209999999999994</v>
      </c>
      <c r="AR102">
        <v>65.209999999999994</v>
      </c>
      <c r="AS102" t="s">
        <v>86</v>
      </c>
      <c r="AT102" t="s">
        <v>86</v>
      </c>
      <c r="AU102">
        <v>0</v>
      </c>
      <c r="AV102">
        <v>0</v>
      </c>
    </row>
    <row r="103" spans="1:48" x14ac:dyDescent="0.3">
      <c r="A103">
        <v>4114</v>
      </c>
      <c r="B103" t="s">
        <v>104</v>
      </c>
      <c r="C103" t="s">
        <v>410</v>
      </c>
      <c r="D103" t="s">
        <v>411</v>
      </c>
      <c r="E103" t="s">
        <v>105</v>
      </c>
      <c r="F103" t="s">
        <v>149</v>
      </c>
      <c r="G103" t="s">
        <v>150</v>
      </c>
      <c r="H103">
        <v>0</v>
      </c>
      <c r="I103">
        <v>0</v>
      </c>
      <c r="J103" t="s">
        <v>106</v>
      </c>
      <c r="K103" t="s">
        <v>106</v>
      </c>
      <c r="N103" s="9">
        <v>46135</v>
      </c>
      <c r="O103">
        <v>10681</v>
      </c>
      <c r="P103">
        <v>1</v>
      </c>
      <c r="Q103">
        <v>18</v>
      </c>
      <c r="R103" t="s">
        <v>86</v>
      </c>
      <c r="S103" t="s">
        <v>87</v>
      </c>
      <c r="T103" t="s">
        <v>89</v>
      </c>
      <c r="U103" t="s">
        <v>839</v>
      </c>
      <c r="V103">
        <v>2026</v>
      </c>
      <c r="W103">
        <v>2026</v>
      </c>
      <c r="X103" t="s">
        <v>107</v>
      </c>
      <c r="Y103">
        <v>0</v>
      </c>
      <c r="Z103">
        <v>0</v>
      </c>
      <c r="AA103">
        <v>0</v>
      </c>
      <c r="AB103" t="s">
        <v>88</v>
      </c>
      <c r="AC103">
        <v>85</v>
      </c>
      <c r="AD103">
        <v>84669</v>
      </c>
      <c r="AE103" t="s">
        <v>108</v>
      </c>
      <c r="AF103">
        <v>1825.9</v>
      </c>
      <c r="AG103">
        <v>5050.3500000000004</v>
      </c>
      <c r="AH103">
        <v>0</v>
      </c>
      <c r="AI103">
        <v>150000</v>
      </c>
      <c r="AJ103">
        <v>0</v>
      </c>
      <c r="AK103">
        <v>150000</v>
      </c>
      <c r="AL103">
        <v>10000</v>
      </c>
      <c r="AM103">
        <v>10000</v>
      </c>
      <c r="AN103">
        <v>521.69000000000005</v>
      </c>
      <c r="AO103">
        <v>0</v>
      </c>
      <c r="AP103">
        <v>130.41999999999999</v>
      </c>
      <c r="AQ103">
        <v>65.209999999999994</v>
      </c>
      <c r="AR103">
        <v>65.209999999999994</v>
      </c>
      <c r="AS103" t="s">
        <v>86</v>
      </c>
      <c r="AT103" t="s">
        <v>86</v>
      </c>
      <c r="AU103">
        <v>0</v>
      </c>
      <c r="AV103">
        <v>0</v>
      </c>
    </row>
    <row r="104" spans="1:48" x14ac:dyDescent="0.3">
      <c r="A104">
        <v>4115</v>
      </c>
      <c r="B104" t="s">
        <v>104</v>
      </c>
      <c r="C104" t="s">
        <v>412</v>
      </c>
      <c r="D104" t="s">
        <v>413</v>
      </c>
      <c r="E104" t="s">
        <v>105</v>
      </c>
      <c r="F104" t="s">
        <v>149</v>
      </c>
      <c r="G104" t="s">
        <v>150</v>
      </c>
      <c r="H104">
        <v>0</v>
      </c>
      <c r="I104">
        <v>0</v>
      </c>
      <c r="J104" t="s">
        <v>106</v>
      </c>
      <c r="K104" t="s">
        <v>106</v>
      </c>
      <c r="N104" s="9">
        <v>46135</v>
      </c>
      <c r="O104">
        <v>10681</v>
      </c>
      <c r="P104">
        <v>1</v>
      </c>
      <c r="Q104">
        <v>19</v>
      </c>
      <c r="R104" t="s">
        <v>86</v>
      </c>
      <c r="S104" t="s">
        <v>87</v>
      </c>
      <c r="T104" t="s">
        <v>89</v>
      </c>
      <c r="U104" t="s">
        <v>839</v>
      </c>
      <c r="V104">
        <v>2026</v>
      </c>
      <c r="W104">
        <v>2026</v>
      </c>
      <c r="X104" t="s">
        <v>107</v>
      </c>
      <c r="Y104">
        <v>0</v>
      </c>
      <c r="Z104">
        <v>0</v>
      </c>
      <c r="AA104">
        <v>0</v>
      </c>
      <c r="AB104" t="s">
        <v>88</v>
      </c>
      <c r="AC104">
        <v>85</v>
      </c>
      <c r="AD104">
        <v>84669</v>
      </c>
      <c r="AE104" t="s">
        <v>108</v>
      </c>
      <c r="AF104">
        <v>1825.9</v>
      </c>
      <c r="AG104">
        <v>5050.3500000000004</v>
      </c>
      <c r="AH104">
        <v>0</v>
      </c>
      <c r="AI104">
        <v>150000</v>
      </c>
      <c r="AJ104">
        <v>0</v>
      </c>
      <c r="AK104">
        <v>150000</v>
      </c>
      <c r="AL104">
        <v>10000</v>
      </c>
      <c r="AM104">
        <v>10000</v>
      </c>
      <c r="AN104">
        <v>521.69000000000005</v>
      </c>
      <c r="AO104">
        <v>0</v>
      </c>
      <c r="AP104">
        <v>130.41999999999999</v>
      </c>
      <c r="AQ104">
        <v>65.209999999999994</v>
      </c>
      <c r="AR104">
        <v>65.209999999999994</v>
      </c>
      <c r="AS104" t="s">
        <v>86</v>
      </c>
      <c r="AT104" t="s">
        <v>86</v>
      </c>
      <c r="AU104">
        <v>0</v>
      </c>
      <c r="AV104">
        <v>0</v>
      </c>
    </row>
    <row r="105" spans="1:48" x14ac:dyDescent="0.3">
      <c r="A105">
        <v>4116</v>
      </c>
      <c r="B105" t="s">
        <v>104</v>
      </c>
      <c r="C105" t="s">
        <v>414</v>
      </c>
      <c r="D105" t="s">
        <v>415</v>
      </c>
      <c r="E105" t="s">
        <v>105</v>
      </c>
      <c r="F105" t="s">
        <v>149</v>
      </c>
      <c r="G105" t="s">
        <v>150</v>
      </c>
      <c r="H105">
        <v>0</v>
      </c>
      <c r="I105">
        <v>0</v>
      </c>
      <c r="J105" t="s">
        <v>106</v>
      </c>
      <c r="K105" t="s">
        <v>106</v>
      </c>
      <c r="N105" s="9">
        <v>46135</v>
      </c>
      <c r="O105">
        <v>10681</v>
      </c>
      <c r="P105">
        <v>1</v>
      </c>
      <c r="Q105">
        <v>20</v>
      </c>
      <c r="R105" t="s">
        <v>86</v>
      </c>
      <c r="S105" t="s">
        <v>87</v>
      </c>
      <c r="T105" t="s">
        <v>89</v>
      </c>
      <c r="U105" t="s">
        <v>839</v>
      </c>
      <c r="V105">
        <v>2026</v>
      </c>
      <c r="W105">
        <v>2026</v>
      </c>
      <c r="X105" t="s">
        <v>107</v>
      </c>
      <c r="Y105">
        <v>0</v>
      </c>
      <c r="Z105">
        <v>0</v>
      </c>
      <c r="AA105">
        <v>0</v>
      </c>
      <c r="AB105" t="s">
        <v>88</v>
      </c>
      <c r="AC105">
        <v>85</v>
      </c>
      <c r="AD105">
        <v>84669</v>
      </c>
      <c r="AE105" t="s">
        <v>108</v>
      </c>
      <c r="AF105">
        <v>1825.9</v>
      </c>
      <c r="AG105">
        <v>5050.3500000000004</v>
      </c>
      <c r="AH105">
        <v>0</v>
      </c>
      <c r="AI105">
        <v>150000</v>
      </c>
      <c r="AJ105">
        <v>0</v>
      </c>
      <c r="AK105">
        <v>150000</v>
      </c>
      <c r="AL105">
        <v>10000</v>
      </c>
      <c r="AM105">
        <v>10000</v>
      </c>
      <c r="AN105">
        <v>521.69000000000005</v>
      </c>
      <c r="AO105">
        <v>0</v>
      </c>
      <c r="AP105">
        <v>130.41999999999999</v>
      </c>
      <c r="AQ105">
        <v>65.209999999999994</v>
      </c>
      <c r="AR105">
        <v>65.209999999999994</v>
      </c>
      <c r="AS105" t="s">
        <v>86</v>
      </c>
      <c r="AT105" t="s">
        <v>86</v>
      </c>
      <c r="AU105">
        <v>0</v>
      </c>
      <c r="AV105">
        <v>0</v>
      </c>
    </row>
    <row r="106" spans="1:48" x14ac:dyDescent="0.3">
      <c r="A106">
        <v>4117</v>
      </c>
      <c r="B106" t="s">
        <v>104</v>
      </c>
      <c r="C106" t="s">
        <v>418</v>
      </c>
      <c r="D106" t="s">
        <v>419</v>
      </c>
      <c r="E106" t="s">
        <v>105</v>
      </c>
      <c r="F106" t="s">
        <v>416</v>
      </c>
      <c r="G106" t="s">
        <v>417</v>
      </c>
      <c r="H106">
        <v>0</v>
      </c>
      <c r="I106">
        <v>0</v>
      </c>
      <c r="J106" t="s">
        <v>106</v>
      </c>
      <c r="K106" t="s">
        <v>106</v>
      </c>
      <c r="N106" s="9">
        <v>46136</v>
      </c>
      <c r="O106">
        <v>10669</v>
      </c>
      <c r="P106">
        <v>1</v>
      </c>
      <c r="Q106">
        <v>1</v>
      </c>
      <c r="R106" t="s">
        <v>86</v>
      </c>
      <c r="S106" t="s">
        <v>87</v>
      </c>
      <c r="T106" t="s">
        <v>89</v>
      </c>
      <c r="U106" t="s">
        <v>839</v>
      </c>
      <c r="V106">
        <v>2026</v>
      </c>
      <c r="W106">
        <v>2026</v>
      </c>
      <c r="X106" t="s">
        <v>107</v>
      </c>
      <c r="Y106">
        <v>0</v>
      </c>
      <c r="Z106">
        <v>0</v>
      </c>
      <c r="AA106">
        <v>0</v>
      </c>
      <c r="AB106" t="s">
        <v>88</v>
      </c>
      <c r="AC106">
        <v>85</v>
      </c>
      <c r="AD106">
        <v>84669</v>
      </c>
      <c r="AE106" t="s">
        <v>108</v>
      </c>
      <c r="AF106">
        <v>1825.9</v>
      </c>
      <c r="AG106">
        <v>5050.3500000000004</v>
      </c>
      <c r="AH106">
        <v>0</v>
      </c>
      <c r="AI106">
        <v>150000</v>
      </c>
      <c r="AJ106">
        <v>0</v>
      </c>
      <c r="AK106">
        <v>150000</v>
      </c>
      <c r="AL106">
        <v>10000</v>
      </c>
      <c r="AM106">
        <v>10000</v>
      </c>
      <c r="AN106">
        <v>521.69000000000005</v>
      </c>
      <c r="AO106">
        <v>0</v>
      </c>
      <c r="AP106">
        <v>130.41999999999999</v>
      </c>
      <c r="AQ106">
        <v>65.209999999999994</v>
      </c>
      <c r="AR106">
        <v>65.209999999999994</v>
      </c>
      <c r="AS106" t="s">
        <v>86</v>
      </c>
      <c r="AT106" t="s">
        <v>86</v>
      </c>
      <c r="AU106">
        <v>0</v>
      </c>
      <c r="AV106">
        <v>0</v>
      </c>
    </row>
    <row r="107" spans="1:48" x14ac:dyDescent="0.3">
      <c r="A107">
        <v>4118</v>
      </c>
      <c r="B107" t="s">
        <v>104</v>
      </c>
      <c r="C107" t="s">
        <v>420</v>
      </c>
      <c r="D107" t="s">
        <v>421</v>
      </c>
      <c r="E107" t="s">
        <v>105</v>
      </c>
      <c r="F107" t="s">
        <v>416</v>
      </c>
      <c r="G107" t="s">
        <v>417</v>
      </c>
      <c r="H107">
        <v>0</v>
      </c>
      <c r="I107">
        <v>0</v>
      </c>
      <c r="J107" t="s">
        <v>106</v>
      </c>
      <c r="K107" t="s">
        <v>106</v>
      </c>
      <c r="N107" s="9">
        <v>46136</v>
      </c>
      <c r="O107">
        <v>10669</v>
      </c>
      <c r="P107">
        <v>1</v>
      </c>
      <c r="Q107">
        <v>2</v>
      </c>
      <c r="R107" t="s">
        <v>86</v>
      </c>
      <c r="S107" t="s">
        <v>87</v>
      </c>
      <c r="T107" t="s">
        <v>89</v>
      </c>
      <c r="U107" t="s">
        <v>839</v>
      </c>
      <c r="V107">
        <v>2026</v>
      </c>
      <c r="W107">
        <v>2026</v>
      </c>
      <c r="X107" t="s">
        <v>107</v>
      </c>
      <c r="Y107">
        <v>0</v>
      </c>
      <c r="Z107">
        <v>0</v>
      </c>
      <c r="AA107">
        <v>0</v>
      </c>
      <c r="AB107" t="s">
        <v>88</v>
      </c>
      <c r="AC107">
        <v>85</v>
      </c>
      <c r="AD107">
        <v>84669</v>
      </c>
      <c r="AE107" t="s">
        <v>108</v>
      </c>
      <c r="AF107">
        <v>1825.9</v>
      </c>
      <c r="AG107">
        <v>5050.3500000000004</v>
      </c>
      <c r="AH107">
        <v>0</v>
      </c>
      <c r="AI107">
        <v>150000</v>
      </c>
      <c r="AJ107">
        <v>0</v>
      </c>
      <c r="AK107">
        <v>150000</v>
      </c>
      <c r="AL107">
        <v>10000</v>
      </c>
      <c r="AM107">
        <v>10000</v>
      </c>
      <c r="AN107">
        <v>521.69000000000005</v>
      </c>
      <c r="AO107">
        <v>0</v>
      </c>
      <c r="AP107">
        <v>130.41999999999999</v>
      </c>
      <c r="AQ107">
        <v>65.209999999999994</v>
      </c>
      <c r="AR107">
        <v>65.209999999999994</v>
      </c>
      <c r="AS107" t="s">
        <v>86</v>
      </c>
      <c r="AT107" t="s">
        <v>86</v>
      </c>
      <c r="AU107">
        <v>0</v>
      </c>
      <c r="AV107">
        <v>0</v>
      </c>
    </row>
    <row r="108" spans="1:48" x14ac:dyDescent="0.3">
      <c r="A108">
        <v>4119</v>
      </c>
      <c r="B108" t="s">
        <v>104</v>
      </c>
      <c r="C108" t="s">
        <v>422</v>
      </c>
      <c r="D108" t="s">
        <v>423</v>
      </c>
      <c r="E108" t="s">
        <v>105</v>
      </c>
      <c r="F108" t="s">
        <v>416</v>
      </c>
      <c r="G108" t="s">
        <v>417</v>
      </c>
      <c r="H108">
        <v>0</v>
      </c>
      <c r="I108">
        <v>0</v>
      </c>
      <c r="J108" t="s">
        <v>106</v>
      </c>
      <c r="K108" t="s">
        <v>106</v>
      </c>
      <c r="N108" s="9">
        <v>46136</v>
      </c>
      <c r="O108">
        <v>10669</v>
      </c>
      <c r="P108">
        <v>1</v>
      </c>
      <c r="Q108">
        <v>3</v>
      </c>
      <c r="R108" t="s">
        <v>86</v>
      </c>
      <c r="S108" t="s">
        <v>87</v>
      </c>
      <c r="T108" t="s">
        <v>89</v>
      </c>
      <c r="U108" t="s">
        <v>839</v>
      </c>
      <c r="V108">
        <v>2026</v>
      </c>
      <c r="W108">
        <v>2026</v>
      </c>
      <c r="X108" t="s">
        <v>107</v>
      </c>
      <c r="Y108">
        <v>0</v>
      </c>
      <c r="Z108">
        <v>0</v>
      </c>
      <c r="AA108">
        <v>0</v>
      </c>
      <c r="AB108" t="s">
        <v>88</v>
      </c>
      <c r="AC108">
        <v>85</v>
      </c>
      <c r="AD108">
        <v>84669</v>
      </c>
      <c r="AE108" t="s">
        <v>108</v>
      </c>
      <c r="AF108">
        <v>1825.9</v>
      </c>
      <c r="AG108">
        <v>5050.3500000000004</v>
      </c>
      <c r="AH108">
        <v>0</v>
      </c>
      <c r="AI108">
        <v>150000</v>
      </c>
      <c r="AJ108">
        <v>0</v>
      </c>
      <c r="AK108">
        <v>150000</v>
      </c>
      <c r="AL108">
        <v>10000</v>
      </c>
      <c r="AM108">
        <v>10000</v>
      </c>
      <c r="AN108">
        <v>521.69000000000005</v>
      </c>
      <c r="AO108">
        <v>0</v>
      </c>
      <c r="AP108">
        <v>130.41999999999999</v>
      </c>
      <c r="AQ108">
        <v>65.209999999999994</v>
      </c>
      <c r="AR108">
        <v>65.209999999999994</v>
      </c>
      <c r="AS108" t="s">
        <v>86</v>
      </c>
      <c r="AT108" t="s">
        <v>86</v>
      </c>
      <c r="AU108">
        <v>0</v>
      </c>
      <c r="AV108">
        <v>0</v>
      </c>
    </row>
    <row r="109" spans="1:48" x14ac:dyDescent="0.3">
      <c r="A109">
        <v>4120</v>
      </c>
      <c r="B109" t="s">
        <v>104</v>
      </c>
      <c r="C109" t="s">
        <v>424</v>
      </c>
      <c r="D109" t="s">
        <v>425</v>
      </c>
      <c r="E109" t="s">
        <v>105</v>
      </c>
      <c r="F109" t="s">
        <v>416</v>
      </c>
      <c r="G109" t="s">
        <v>417</v>
      </c>
      <c r="H109">
        <v>0</v>
      </c>
      <c r="I109">
        <v>0</v>
      </c>
      <c r="J109" t="s">
        <v>106</v>
      </c>
      <c r="K109" t="s">
        <v>106</v>
      </c>
      <c r="N109" s="9">
        <v>46136</v>
      </c>
      <c r="O109">
        <v>10669</v>
      </c>
      <c r="P109">
        <v>1</v>
      </c>
      <c r="Q109">
        <v>4</v>
      </c>
      <c r="R109" t="s">
        <v>86</v>
      </c>
      <c r="S109" t="s">
        <v>87</v>
      </c>
      <c r="T109" t="s">
        <v>89</v>
      </c>
      <c r="U109" t="s">
        <v>839</v>
      </c>
      <c r="V109">
        <v>2026</v>
      </c>
      <c r="W109">
        <v>2026</v>
      </c>
      <c r="X109" t="s">
        <v>107</v>
      </c>
      <c r="Y109">
        <v>0</v>
      </c>
      <c r="Z109">
        <v>0</v>
      </c>
      <c r="AA109">
        <v>0</v>
      </c>
      <c r="AB109" t="s">
        <v>88</v>
      </c>
      <c r="AC109">
        <v>85</v>
      </c>
      <c r="AD109">
        <v>84669</v>
      </c>
      <c r="AE109" t="s">
        <v>108</v>
      </c>
      <c r="AF109">
        <v>1825.9</v>
      </c>
      <c r="AG109">
        <v>5050.3500000000004</v>
      </c>
      <c r="AH109">
        <v>0</v>
      </c>
      <c r="AI109">
        <v>150000</v>
      </c>
      <c r="AJ109">
        <v>0</v>
      </c>
      <c r="AK109">
        <v>150000</v>
      </c>
      <c r="AL109">
        <v>10000</v>
      </c>
      <c r="AM109">
        <v>10000</v>
      </c>
      <c r="AN109">
        <v>521.69000000000005</v>
      </c>
      <c r="AO109">
        <v>0</v>
      </c>
      <c r="AP109">
        <v>130.41999999999999</v>
      </c>
      <c r="AQ109">
        <v>65.209999999999994</v>
      </c>
      <c r="AR109">
        <v>65.209999999999994</v>
      </c>
      <c r="AS109" t="s">
        <v>86</v>
      </c>
      <c r="AT109" t="s">
        <v>86</v>
      </c>
      <c r="AU109">
        <v>0</v>
      </c>
      <c r="AV109">
        <v>0</v>
      </c>
    </row>
    <row r="110" spans="1:48" x14ac:dyDescent="0.3">
      <c r="A110">
        <v>4121</v>
      </c>
      <c r="B110" t="s">
        <v>104</v>
      </c>
      <c r="C110" t="s">
        <v>426</v>
      </c>
      <c r="D110" t="s">
        <v>427</v>
      </c>
      <c r="E110" t="s">
        <v>105</v>
      </c>
      <c r="F110" t="s">
        <v>416</v>
      </c>
      <c r="G110" t="s">
        <v>417</v>
      </c>
      <c r="H110">
        <v>0</v>
      </c>
      <c r="I110">
        <v>0</v>
      </c>
      <c r="J110" t="s">
        <v>106</v>
      </c>
      <c r="K110" t="s">
        <v>106</v>
      </c>
      <c r="N110" s="9">
        <v>46136</v>
      </c>
      <c r="O110">
        <v>10669</v>
      </c>
      <c r="P110">
        <v>1</v>
      </c>
      <c r="Q110">
        <v>5</v>
      </c>
      <c r="R110" t="s">
        <v>86</v>
      </c>
      <c r="S110" t="s">
        <v>87</v>
      </c>
      <c r="T110" t="s">
        <v>89</v>
      </c>
      <c r="U110" t="s">
        <v>839</v>
      </c>
      <c r="V110">
        <v>2026</v>
      </c>
      <c r="W110">
        <v>2026</v>
      </c>
      <c r="X110" t="s">
        <v>107</v>
      </c>
      <c r="Y110">
        <v>0</v>
      </c>
      <c r="Z110">
        <v>0</v>
      </c>
      <c r="AA110">
        <v>0</v>
      </c>
      <c r="AB110" t="s">
        <v>88</v>
      </c>
      <c r="AC110">
        <v>85</v>
      </c>
      <c r="AD110">
        <v>84669</v>
      </c>
      <c r="AE110" t="s">
        <v>108</v>
      </c>
      <c r="AF110">
        <v>1825.9</v>
      </c>
      <c r="AG110">
        <v>5050.3500000000004</v>
      </c>
      <c r="AH110">
        <v>0</v>
      </c>
      <c r="AI110">
        <v>150000</v>
      </c>
      <c r="AJ110">
        <v>0</v>
      </c>
      <c r="AK110">
        <v>150000</v>
      </c>
      <c r="AL110">
        <v>10000</v>
      </c>
      <c r="AM110">
        <v>10000</v>
      </c>
      <c r="AN110">
        <v>521.69000000000005</v>
      </c>
      <c r="AO110">
        <v>0</v>
      </c>
      <c r="AP110">
        <v>130.41999999999999</v>
      </c>
      <c r="AQ110">
        <v>65.209999999999994</v>
      </c>
      <c r="AR110">
        <v>65.209999999999994</v>
      </c>
      <c r="AS110" t="s">
        <v>86</v>
      </c>
      <c r="AT110" t="s">
        <v>86</v>
      </c>
      <c r="AU110">
        <v>0</v>
      </c>
      <c r="AV110">
        <v>0</v>
      </c>
    </row>
    <row r="111" spans="1:48" x14ac:dyDescent="0.3">
      <c r="A111">
        <v>4122</v>
      </c>
      <c r="B111" t="s">
        <v>104</v>
      </c>
      <c r="C111" t="s">
        <v>428</v>
      </c>
      <c r="D111" t="s">
        <v>429</v>
      </c>
      <c r="E111" t="s">
        <v>105</v>
      </c>
      <c r="F111" t="s">
        <v>416</v>
      </c>
      <c r="G111" t="s">
        <v>417</v>
      </c>
      <c r="H111">
        <v>0</v>
      </c>
      <c r="I111">
        <v>0</v>
      </c>
      <c r="J111" t="s">
        <v>106</v>
      </c>
      <c r="K111" t="s">
        <v>106</v>
      </c>
      <c r="N111" s="9">
        <v>46136</v>
      </c>
      <c r="O111">
        <v>10669</v>
      </c>
      <c r="P111">
        <v>1</v>
      </c>
      <c r="Q111">
        <v>6</v>
      </c>
      <c r="R111" t="s">
        <v>86</v>
      </c>
      <c r="S111" t="s">
        <v>87</v>
      </c>
      <c r="T111" t="s">
        <v>89</v>
      </c>
      <c r="U111" t="s">
        <v>839</v>
      </c>
      <c r="V111">
        <v>2026</v>
      </c>
      <c r="W111">
        <v>2026</v>
      </c>
      <c r="X111" t="s">
        <v>107</v>
      </c>
      <c r="Y111">
        <v>0</v>
      </c>
      <c r="Z111">
        <v>0</v>
      </c>
      <c r="AA111">
        <v>0</v>
      </c>
      <c r="AB111" t="s">
        <v>88</v>
      </c>
      <c r="AC111">
        <v>85</v>
      </c>
      <c r="AD111">
        <v>84669</v>
      </c>
      <c r="AE111" t="s">
        <v>108</v>
      </c>
      <c r="AF111">
        <v>1825.9</v>
      </c>
      <c r="AG111">
        <v>5050.3500000000004</v>
      </c>
      <c r="AH111">
        <v>0</v>
      </c>
      <c r="AI111">
        <v>150000</v>
      </c>
      <c r="AJ111">
        <v>0</v>
      </c>
      <c r="AK111">
        <v>150000</v>
      </c>
      <c r="AL111">
        <v>10000</v>
      </c>
      <c r="AM111">
        <v>10000</v>
      </c>
      <c r="AN111">
        <v>521.69000000000005</v>
      </c>
      <c r="AO111">
        <v>0</v>
      </c>
      <c r="AP111">
        <v>130.41999999999999</v>
      </c>
      <c r="AQ111">
        <v>65.209999999999994</v>
      </c>
      <c r="AR111">
        <v>65.209999999999994</v>
      </c>
      <c r="AS111" t="s">
        <v>86</v>
      </c>
      <c r="AT111" t="s">
        <v>86</v>
      </c>
      <c r="AU111">
        <v>0</v>
      </c>
      <c r="AV111">
        <v>0</v>
      </c>
    </row>
    <row r="112" spans="1:48" x14ac:dyDescent="0.3">
      <c r="A112">
        <v>4123</v>
      </c>
      <c r="B112" t="s">
        <v>104</v>
      </c>
      <c r="C112" t="s">
        <v>430</v>
      </c>
      <c r="D112" t="s">
        <v>431</v>
      </c>
      <c r="E112" t="s">
        <v>105</v>
      </c>
      <c r="F112" t="s">
        <v>416</v>
      </c>
      <c r="G112" t="s">
        <v>417</v>
      </c>
      <c r="H112">
        <v>0</v>
      </c>
      <c r="I112">
        <v>0</v>
      </c>
      <c r="J112" t="s">
        <v>106</v>
      </c>
      <c r="K112" t="s">
        <v>106</v>
      </c>
      <c r="N112" s="9">
        <v>46136</v>
      </c>
      <c r="O112">
        <v>10669</v>
      </c>
      <c r="P112">
        <v>1</v>
      </c>
      <c r="Q112">
        <v>7</v>
      </c>
      <c r="R112" t="s">
        <v>86</v>
      </c>
      <c r="S112" t="s">
        <v>87</v>
      </c>
      <c r="T112" t="s">
        <v>89</v>
      </c>
      <c r="U112" t="s">
        <v>839</v>
      </c>
      <c r="V112">
        <v>2026</v>
      </c>
      <c r="W112">
        <v>2026</v>
      </c>
      <c r="X112" t="s">
        <v>107</v>
      </c>
      <c r="Y112">
        <v>0</v>
      </c>
      <c r="Z112">
        <v>0</v>
      </c>
      <c r="AA112">
        <v>0</v>
      </c>
      <c r="AB112" t="s">
        <v>88</v>
      </c>
      <c r="AC112">
        <v>85</v>
      </c>
      <c r="AD112">
        <v>84669</v>
      </c>
      <c r="AE112" t="s">
        <v>108</v>
      </c>
      <c r="AF112">
        <v>1825.9</v>
      </c>
      <c r="AG112">
        <v>5050.3500000000004</v>
      </c>
      <c r="AH112">
        <v>0</v>
      </c>
      <c r="AI112">
        <v>150000</v>
      </c>
      <c r="AJ112">
        <v>0</v>
      </c>
      <c r="AK112">
        <v>150000</v>
      </c>
      <c r="AL112">
        <v>10000</v>
      </c>
      <c r="AM112">
        <v>10000</v>
      </c>
      <c r="AN112">
        <v>521.69000000000005</v>
      </c>
      <c r="AO112">
        <v>0</v>
      </c>
      <c r="AP112">
        <v>130.41999999999999</v>
      </c>
      <c r="AQ112">
        <v>65.209999999999994</v>
      </c>
      <c r="AR112">
        <v>65.209999999999994</v>
      </c>
      <c r="AS112" t="s">
        <v>86</v>
      </c>
      <c r="AT112" t="s">
        <v>86</v>
      </c>
      <c r="AU112">
        <v>0</v>
      </c>
      <c r="AV112">
        <v>0</v>
      </c>
    </row>
    <row r="113" spans="1:48" x14ac:dyDescent="0.3">
      <c r="A113">
        <v>4124</v>
      </c>
      <c r="B113" t="s">
        <v>104</v>
      </c>
      <c r="C113" t="s">
        <v>432</v>
      </c>
      <c r="D113" t="s">
        <v>433</v>
      </c>
      <c r="E113" t="s">
        <v>105</v>
      </c>
      <c r="F113" t="s">
        <v>416</v>
      </c>
      <c r="G113" t="s">
        <v>417</v>
      </c>
      <c r="H113">
        <v>0</v>
      </c>
      <c r="I113">
        <v>0</v>
      </c>
      <c r="J113" t="s">
        <v>106</v>
      </c>
      <c r="K113" t="s">
        <v>106</v>
      </c>
      <c r="N113" s="9">
        <v>46136</v>
      </c>
      <c r="O113">
        <v>10669</v>
      </c>
      <c r="P113">
        <v>1</v>
      </c>
      <c r="Q113">
        <v>8</v>
      </c>
      <c r="R113" t="s">
        <v>86</v>
      </c>
      <c r="S113" t="s">
        <v>87</v>
      </c>
      <c r="T113" t="s">
        <v>89</v>
      </c>
      <c r="U113" t="s">
        <v>839</v>
      </c>
      <c r="V113">
        <v>2026</v>
      </c>
      <c r="W113">
        <v>2026</v>
      </c>
      <c r="X113" t="s">
        <v>107</v>
      </c>
      <c r="Y113">
        <v>0</v>
      </c>
      <c r="Z113">
        <v>0</v>
      </c>
      <c r="AA113">
        <v>0</v>
      </c>
      <c r="AB113" t="s">
        <v>88</v>
      </c>
      <c r="AC113">
        <v>85</v>
      </c>
      <c r="AD113">
        <v>84669</v>
      </c>
      <c r="AE113" t="s">
        <v>108</v>
      </c>
      <c r="AF113">
        <v>1825.9</v>
      </c>
      <c r="AG113">
        <v>5050.3500000000004</v>
      </c>
      <c r="AH113">
        <v>0</v>
      </c>
      <c r="AI113">
        <v>150000</v>
      </c>
      <c r="AJ113">
        <v>0</v>
      </c>
      <c r="AK113">
        <v>150000</v>
      </c>
      <c r="AL113">
        <v>10000</v>
      </c>
      <c r="AM113">
        <v>10000</v>
      </c>
      <c r="AN113">
        <v>521.69000000000005</v>
      </c>
      <c r="AO113">
        <v>0</v>
      </c>
      <c r="AP113">
        <v>130.41999999999999</v>
      </c>
      <c r="AQ113">
        <v>65.209999999999994</v>
      </c>
      <c r="AR113">
        <v>65.209999999999994</v>
      </c>
      <c r="AS113" t="s">
        <v>86</v>
      </c>
      <c r="AT113" t="s">
        <v>86</v>
      </c>
      <c r="AU113">
        <v>0</v>
      </c>
      <c r="AV113">
        <v>0</v>
      </c>
    </row>
    <row r="114" spans="1:48" x14ac:dyDescent="0.3">
      <c r="A114">
        <v>4125</v>
      </c>
      <c r="B114" t="s">
        <v>104</v>
      </c>
      <c r="C114" t="s">
        <v>434</v>
      </c>
      <c r="D114" t="s">
        <v>435</v>
      </c>
      <c r="E114" t="s">
        <v>105</v>
      </c>
      <c r="F114" t="s">
        <v>416</v>
      </c>
      <c r="G114" t="s">
        <v>417</v>
      </c>
      <c r="H114">
        <v>0</v>
      </c>
      <c r="I114">
        <v>0</v>
      </c>
      <c r="J114" t="s">
        <v>106</v>
      </c>
      <c r="K114" t="s">
        <v>106</v>
      </c>
      <c r="N114" s="9">
        <v>46136</v>
      </c>
      <c r="O114">
        <v>10669</v>
      </c>
      <c r="P114">
        <v>1</v>
      </c>
      <c r="Q114">
        <v>9</v>
      </c>
      <c r="R114" t="s">
        <v>86</v>
      </c>
      <c r="S114" t="s">
        <v>87</v>
      </c>
      <c r="T114" t="s">
        <v>89</v>
      </c>
      <c r="U114" t="s">
        <v>839</v>
      </c>
      <c r="V114">
        <v>2026</v>
      </c>
      <c r="W114">
        <v>2026</v>
      </c>
      <c r="X114" t="s">
        <v>107</v>
      </c>
      <c r="Y114">
        <v>0</v>
      </c>
      <c r="Z114">
        <v>0</v>
      </c>
      <c r="AA114">
        <v>0</v>
      </c>
      <c r="AB114" t="s">
        <v>88</v>
      </c>
      <c r="AC114">
        <v>85</v>
      </c>
      <c r="AD114">
        <v>84669</v>
      </c>
      <c r="AE114" t="s">
        <v>108</v>
      </c>
      <c r="AF114">
        <v>1825.9</v>
      </c>
      <c r="AG114">
        <v>5050.3500000000004</v>
      </c>
      <c r="AH114">
        <v>0</v>
      </c>
      <c r="AI114">
        <v>150000</v>
      </c>
      <c r="AJ114">
        <v>0</v>
      </c>
      <c r="AK114">
        <v>150000</v>
      </c>
      <c r="AL114">
        <v>10000</v>
      </c>
      <c r="AM114">
        <v>10000</v>
      </c>
      <c r="AN114">
        <v>521.69000000000005</v>
      </c>
      <c r="AO114">
        <v>0</v>
      </c>
      <c r="AP114">
        <v>130.41999999999999</v>
      </c>
      <c r="AQ114">
        <v>65.209999999999994</v>
      </c>
      <c r="AR114">
        <v>65.209999999999994</v>
      </c>
      <c r="AS114" t="s">
        <v>86</v>
      </c>
      <c r="AT114" t="s">
        <v>86</v>
      </c>
      <c r="AU114">
        <v>0</v>
      </c>
      <c r="AV114">
        <v>0</v>
      </c>
    </row>
    <row r="115" spans="1:48" x14ac:dyDescent="0.3">
      <c r="A115">
        <v>4126</v>
      </c>
      <c r="B115" t="s">
        <v>104</v>
      </c>
      <c r="C115" t="s">
        <v>436</v>
      </c>
      <c r="D115" t="s">
        <v>437</v>
      </c>
      <c r="E115" t="s">
        <v>105</v>
      </c>
      <c r="F115" t="s">
        <v>416</v>
      </c>
      <c r="G115" t="s">
        <v>417</v>
      </c>
      <c r="H115">
        <v>0</v>
      </c>
      <c r="I115">
        <v>0</v>
      </c>
      <c r="J115" t="s">
        <v>106</v>
      </c>
      <c r="K115" t="s">
        <v>106</v>
      </c>
      <c r="N115" s="9">
        <v>46136</v>
      </c>
      <c r="O115">
        <v>10669</v>
      </c>
      <c r="P115">
        <v>1</v>
      </c>
      <c r="Q115">
        <v>10</v>
      </c>
      <c r="R115" t="s">
        <v>86</v>
      </c>
      <c r="S115" t="s">
        <v>87</v>
      </c>
      <c r="T115" t="s">
        <v>89</v>
      </c>
      <c r="U115" t="s">
        <v>839</v>
      </c>
      <c r="V115">
        <v>2026</v>
      </c>
      <c r="W115">
        <v>2026</v>
      </c>
      <c r="X115" t="s">
        <v>107</v>
      </c>
      <c r="Y115">
        <v>0</v>
      </c>
      <c r="Z115">
        <v>0</v>
      </c>
      <c r="AA115">
        <v>0</v>
      </c>
      <c r="AB115" t="s">
        <v>88</v>
      </c>
      <c r="AC115">
        <v>85</v>
      </c>
      <c r="AD115">
        <v>84669</v>
      </c>
      <c r="AE115" t="s">
        <v>108</v>
      </c>
      <c r="AF115">
        <v>1825.9</v>
      </c>
      <c r="AG115">
        <v>5050.3500000000004</v>
      </c>
      <c r="AH115">
        <v>0</v>
      </c>
      <c r="AI115">
        <v>150000</v>
      </c>
      <c r="AJ115">
        <v>0</v>
      </c>
      <c r="AK115">
        <v>150000</v>
      </c>
      <c r="AL115">
        <v>10000</v>
      </c>
      <c r="AM115">
        <v>10000</v>
      </c>
      <c r="AN115">
        <v>521.69000000000005</v>
      </c>
      <c r="AO115">
        <v>0</v>
      </c>
      <c r="AP115">
        <v>130.41999999999999</v>
      </c>
      <c r="AQ115">
        <v>65.209999999999994</v>
      </c>
      <c r="AR115">
        <v>65.209999999999994</v>
      </c>
      <c r="AS115" t="s">
        <v>86</v>
      </c>
      <c r="AT115" t="s">
        <v>86</v>
      </c>
      <c r="AU115">
        <v>0</v>
      </c>
      <c r="AV115">
        <v>0</v>
      </c>
    </row>
    <row r="116" spans="1:48" x14ac:dyDescent="0.3">
      <c r="A116">
        <v>4127</v>
      </c>
      <c r="B116" t="s">
        <v>104</v>
      </c>
      <c r="C116" t="s">
        <v>440</v>
      </c>
      <c r="D116" t="s">
        <v>441</v>
      </c>
      <c r="E116" t="s">
        <v>138</v>
      </c>
      <c r="F116" t="s">
        <v>438</v>
      </c>
      <c r="G116" t="s">
        <v>439</v>
      </c>
      <c r="H116">
        <v>0</v>
      </c>
      <c r="I116">
        <v>0</v>
      </c>
      <c r="J116" t="s">
        <v>106</v>
      </c>
      <c r="K116" t="s">
        <v>106</v>
      </c>
      <c r="N116" s="9">
        <v>46136</v>
      </c>
      <c r="O116">
        <v>10646</v>
      </c>
      <c r="P116">
        <v>1</v>
      </c>
      <c r="Q116">
        <v>1</v>
      </c>
      <c r="R116" t="s">
        <v>86</v>
      </c>
      <c r="S116" t="s">
        <v>87</v>
      </c>
      <c r="T116" t="s">
        <v>91</v>
      </c>
      <c r="U116" t="s">
        <v>114</v>
      </c>
      <c r="V116">
        <v>2024</v>
      </c>
      <c r="W116">
        <v>2024</v>
      </c>
      <c r="X116" t="s">
        <v>112</v>
      </c>
      <c r="Y116">
        <v>0</v>
      </c>
      <c r="Z116">
        <v>0</v>
      </c>
      <c r="AA116">
        <v>0</v>
      </c>
      <c r="AB116" t="s">
        <v>93</v>
      </c>
      <c r="AC116">
        <v>85</v>
      </c>
      <c r="AD116">
        <v>450414</v>
      </c>
      <c r="AE116" t="s">
        <v>108</v>
      </c>
      <c r="AF116">
        <v>3870.96</v>
      </c>
      <c r="AG116">
        <v>24455.05</v>
      </c>
      <c r="AH116">
        <v>0</v>
      </c>
      <c r="AI116">
        <v>150000</v>
      </c>
      <c r="AJ116">
        <v>0</v>
      </c>
      <c r="AK116">
        <v>150000</v>
      </c>
      <c r="AL116">
        <v>10000</v>
      </c>
      <c r="AM116">
        <v>10000</v>
      </c>
      <c r="AN116">
        <v>1105.99</v>
      </c>
      <c r="AO116">
        <v>0</v>
      </c>
      <c r="AP116">
        <v>276.5</v>
      </c>
      <c r="AQ116">
        <v>138.25</v>
      </c>
      <c r="AR116">
        <v>138.25</v>
      </c>
      <c r="AS116" t="s">
        <v>86</v>
      </c>
      <c r="AT116" t="s">
        <v>86</v>
      </c>
      <c r="AU116">
        <v>0</v>
      </c>
      <c r="AV116">
        <v>0</v>
      </c>
    </row>
    <row r="117" spans="1:48" x14ac:dyDescent="0.3">
      <c r="A117">
        <v>4128</v>
      </c>
      <c r="B117" t="s">
        <v>104</v>
      </c>
      <c r="C117" t="s">
        <v>444</v>
      </c>
      <c r="D117" t="s">
        <v>445</v>
      </c>
      <c r="E117" t="s">
        <v>131</v>
      </c>
      <c r="F117" t="s">
        <v>442</v>
      </c>
      <c r="G117" t="s">
        <v>443</v>
      </c>
      <c r="H117">
        <v>0</v>
      </c>
      <c r="I117">
        <v>0</v>
      </c>
      <c r="J117" t="s">
        <v>106</v>
      </c>
      <c r="K117" t="s">
        <v>106</v>
      </c>
      <c r="N117" s="9">
        <v>46136</v>
      </c>
      <c r="O117">
        <v>10648</v>
      </c>
      <c r="P117">
        <v>1</v>
      </c>
      <c r="Q117">
        <v>1</v>
      </c>
      <c r="R117" t="s">
        <v>86</v>
      </c>
      <c r="S117" t="s">
        <v>87</v>
      </c>
      <c r="T117" t="s">
        <v>134</v>
      </c>
      <c r="U117" t="s">
        <v>840</v>
      </c>
      <c r="V117">
        <v>2026</v>
      </c>
      <c r="W117">
        <v>2026</v>
      </c>
      <c r="X117" t="s">
        <v>107</v>
      </c>
      <c r="Y117">
        <v>0</v>
      </c>
      <c r="Z117">
        <v>0</v>
      </c>
      <c r="AA117">
        <v>0</v>
      </c>
      <c r="AB117" t="s">
        <v>135</v>
      </c>
      <c r="AC117">
        <v>85</v>
      </c>
      <c r="AD117">
        <v>133163</v>
      </c>
      <c r="AE117" t="s">
        <v>113</v>
      </c>
      <c r="AF117">
        <v>2255.9</v>
      </c>
      <c r="AG117">
        <v>7806.8</v>
      </c>
      <c r="AH117">
        <v>0</v>
      </c>
      <c r="AI117">
        <v>300000</v>
      </c>
      <c r="AJ117">
        <v>0</v>
      </c>
      <c r="AK117">
        <v>300000</v>
      </c>
      <c r="AL117">
        <v>10000</v>
      </c>
      <c r="AM117">
        <v>10000</v>
      </c>
      <c r="AN117">
        <v>645.27</v>
      </c>
      <c r="AO117">
        <v>0</v>
      </c>
      <c r="AP117">
        <v>161.32</v>
      </c>
      <c r="AQ117">
        <v>80.569999999999993</v>
      </c>
      <c r="AR117">
        <v>80.569999999999993</v>
      </c>
      <c r="AS117" t="s">
        <v>86</v>
      </c>
      <c r="AT117" t="s">
        <v>86</v>
      </c>
      <c r="AU117">
        <v>0</v>
      </c>
      <c r="AV117">
        <v>0</v>
      </c>
    </row>
    <row r="118" spans="1:48" x14ac:dyDescent="0.3">
      <c r="A118">
        <v>4129</v>
      </c>
      <c r="B118" t="s">
        <v>104</v>
      </c>
      <c r="C118" t="s">
        <v>448</v>
      </c>
      <c r="D118" t="s">
        <v>449</v>
      </c>
      <c r="E118" t="s">
        <v>138</v>
      </c>
      <c r="F118" t="s">
        <v>446</v>
      </c>
      <c r="G118" t="s">
        <v>447</v>
      </c>
      <c r="H118">
        <v>0</v>
      </c>
      <c r="I118">
        <v>0</v>
      </c>
      <c r="J118" t="s">
        <v>106</v>
      </c>
      <c r="K118" t="s">
        <v>106</v>
      </c>
      <c r="N118" s="9">
        <v>46136</v>
      </c>
      <c r="O118">
        <v>10653</v>
      </c>
      <c r="P118">
        <v>1</v>
      </c>
      <c r="Q118">
        <v>1</v>
      </c>
      <c r="R118" t="s">
        <v>86</v>
      </c>
      <c r="S118" t="s">
        <v>87</v>
      </c>
      <c r="T118" t="s">
        <v>91</v>
      </c>
      <c r="U118" t="s">
        <v>111</v>
      </c>
      <c r="V118">
        <v>2024</v>
      </c>
      <c r="W118">
        <v>2024</v>
      </c>
      <c r="X118" t="s">
        <v>112</v>
      </c>
      <c r="Y118">
        <v>0</v>
      </c>
      <c r="Z118">
        <v>0</v>
      </c>
      <c r="AA118">
        <v>0</v>
      </c>
      <c r="AB118" t="s">
        <v>93</v>
      </c>
      <c r="AC118">
        <v>85</v>
      </c>
      <c r="AD118">
        <v>450414</v>
      </c>
      <c r="AE118" t="s">
        <v>108</v>
      </c>
      <c r="AF118">
        <v>3870.96</v>
      </c>
      <c r="AG118">
        <v>24455.05</v>
      </c>
      <c r="AH118">
        <v>0</v>
      </c>
      <c r="AI118">
        <v>150000</v>
      </c>
      <c r="AJ118">
        <v>0</v>
      </c>
      <c r="AK118">
        <v>150000</v>
      </c>
      <c r="AL118">
        <v>10000</v>
      </c>
      <c r="AM118">
        <v>10000</v>
      </c>
      <c r="AN118">
        <v>1105.99</v>
      </c>
      <c r="AO118">
        <v>0</v>
      </c>
      <c r="AP118">
        <v>276.5</v>
      </c>
      <c r="AQ118">
        <v>138.25</v>
      </c>
      <c r="AR118">
        <v>138.25</v>
      </c>
      <c r="AS118" t="s">
        <v>86</v>
      </c>
      <c r="AT118" t="s">
        <v>86</v>
      </c>
      <c r="AU118">
        <v>0</v>
      </c>
      <c r="AV118">
        <v>0</v>
      </c>
    </row>
    <row r="119" spans="1:48" x14ac:dyDescent="0.3">
      <c r="A119">
        <v>4130</v>
      </c>
      <c r="B119" t="s">
        <v>104</v>
      </c>
      <c r="C119" t="s">
        <v>452</v>
      </c>
      <c r="D119" t="s">
        <v>453</v>
      </c>
      <c r="E119" t="s">
        <v>138</v>
      </c>
      <c r="F119" t="s">
        <v>450</v>
      </c>
      <c r="G119" t="s">
        <v>451</v>
      </c>
      <c r="H119">
        <v>0</v>
      </c>
      <c r="I119">
        <v>0</v>
      </c>
      <c r="J119" t="s">
        <v>106</v>
      </c>
      <c r="K119" t="s">
        <v>106</v>
      </c>
      <c r="N119" s="9">
        <v>46136</v>
      </c>
      <c r="O119">
        <v>10695</v>
      </c>
      <c r="P119">
        <v>1</v>
      </c>
      <c r="Q119">
        <v>1</v>
      </c>
      <c r="R119" t="s">
        <v>86</v>
      </c>
      <c r="S119" t="s">
        <v>87</v>
      </c>
      <c r="T119" t="s">
        <v>89</v>
      </c>
      <c r="U119" t="s">
        <v>841</v>
      </c>
      <c r="V119">
        <v>2026</v>
      </c>
      <c r="W119">
        <v>2026</v>
      </c>
      <c r="X119" t="s">
        <v>107</v>
      </c>
      <c r="Y119">
        <v>0</v>
      </c>
      <c r="Z119">
        <v>0</v>
      </c>
      <c r="AA119">
        <v>0</v>
      </c>
      <c r="AB119" t="s">
        <v>88</v>
      </c>
      <c r="AC119">
        <v>85</v>
      </c>
      <c r="AD119">
        <v>84669</v>
      </c>
      <c r="AE119" t="s">
        <v>113</v>
      </c>
      <c r="AF119">
        <v>1836.77</v>
      </c>
      <c r="AG119">
        <v>5050.3500000000004</v>
      </c>
      <c r="AH119">
        <v>0</v>
      </c>
      <c r="AI119">
        <v>300000</v>
      </c>
      <c r="AJ119">
        <v>0</v>
      </c>
      <c r="AK119">
        <v>300000</v>
      </c>
      <c r="AL119">
        <v>10000</v>
      </c>
      <c r="AM119">
        <v>10000</v>
      </c>
      <c r="AN119">
        <v>554.88</v>
      </c>
      <c r="AO119">
        <v>0</v>
      </c>
      <c r="AP119">
        <v>138.72</v>
      </c>
      <c r="AQ119">
        <v>65.599999999999994</v>
      </c>
      <c r="AR119">
        <v>65.599999999999994</v>
      </c>
      <c r="AS119" t="s">
        <v>86</v>
      </c>
      <c r="AT119" t="s">
        <v>86</v>
      </c>
      <c r="AU119">
        <v>0</v>
      </c>
      <c r="AV119">
        <v>0</v>
      </c>
    </row>
    <row r="120" spans="1:48" x14ac:dyDescent="0.3">
      <c r="A120">
        <v>4131</v>
      </c>
      <c r="B120" t="s">
        <v>104</v>
      </c>
      <c r="C120" t="s">
        <v>456</v>
      </c>
      <c r="D120" t="s">
        <v>457</v>
      </c>
      <c r="E120" t="s">
        <v>131</v>
      </c>
      <c r="F120" t="s">
        <v>454</v>
      </c>
      <c r="G120" t="s">
        <v>455</v>
      </c>
      <c r="H120">
        <v>0</v>
      </c>
      <c r="I120">
        <v>0</v>
      </c>
      <c r="J120" t="s">
        <v>106</v>
      </c>
      <c r="K120" t="s">
        <v>106</v>
      </c>
      <c r="N120" s="9">
        <v>46136</v>
      </c>
      <c r="O120">
        <v>10704</v>
      </c>
      <c r="P120">
        <v>1</v>
      </c>
      <c r="Q120">
        <v>1</v>
      </c>
      <c r="R120" t="s">
        <v>86</v>
      </c>
      <c r="S120" t="s">
        <v>87</v>
      </c>
      <c r="T120" t="s">
        <v>89</v>
      </c>
      <c r="U120" t="s">
        <v>842</v>
      </c>
      <c r="V120">
        <v>2026</v>
      </c>
      <c r="W120">
        <v>2026</v>
      </c>
      <c r="X120" t="s">
        <v>107</v>
      </c>
      <c r="Y120">
        <v>0</v>
      </c>
      <c r="Z120">
        <v>0</v>
      </c>
      <c r="AA120">
        <v>0</v>
      </c>
      <c r="AB120" t="s">
        <v>88</v>
      </c>
      <c r="AC120">
        <v>85</v>
      </c>
      <c r="AD120">
        <v>84669</v>
      </c>
      <c r="AE120" t="s">
        <v>113</v>
      </c>
      <c r="AF120">
        <v>1836.77</v>
      </c>
      <c r="AG120">
        <v>5050.3500000000004</v>
      </c>
      <c r="AH120">
        <v>0</v>
      </c>
      <c r="AI120">
        <v>300000</v>
      </c>
      <c r="AJ120">
        <v>0</v>
      </c>
      <c r="AK120">
        <v>300000</v>
      </c>
      <c r="AL120">
        <v>10000</v>
      </c>
      <c r="AM120">
        <v>10000</v>
      </c>
      <c r="AN120">
        <v>554.88</v>
      </c>
      <c r="AO120">
        <v>0</v>
      </c>
      <c r="AP120">
        <v>138.72</v>
      </c>
      <c r="AQ120">
        <v>65.599999999999994</v>
      </c>
      <c r="AR120">
        <v>65.599999999999994</v>
      </c>
      <c r="AS120" t="s">
        <v>86</v>
      </c>
      <c r="AT120" t="s">
        <v>86</v>
      </c>
      <c r="AU120">
        <v>0</v>
      </c>
      <c r="AV120">
        <v>0</v>
      </c>
    </row>
    <row r="121" spans="1:48" x14ac:dyDescent="0.3">
      <c r="A121">
        <v>4132</v>
      </c>
      <c r="B121" t="s">
        <v>104</v>
      </c>
      <c r="C121" t="s">
        <v>460</v>
      </c>
      <c r="D121" t="s">
        <v>461</v>
      </c>
      <c r="E121" t="s">
        <v>138</v>
      </c>
      <c r="F121" t="s">
        <v>458</v>
      </c>
      <c r="G121" t="s">
        <v>459</v>
      </c>
      <c r="H121">
        <v>0</v>
      </c>
      <c r="I121">
        <v>0</v>
      </c>
      <c r="J121" t="s">
        <v>106</v>
      </c>
      <c r="K121" t="s">
        <v>106</v>
      </c>
      <c r="N121" s="9">
        <v>46136</v>
      </c>
      <c r="O121">
        <v>10709</v>
      </c>
      <c r="P121">
        <v>1</v>
      </c>
      <c r="Q121">
        <v>1</v>
      </c>
      <c r="R121" t="s">
        <v>86</v>
      </c>
      <c r="S121" t="s">
        <v>87</v>
      </c>
      <c r="T121" t="s">
        <v>89</v>
      </c>
      <c r="U121" t="s">
        <v>843</v>
      </c>
      <c r="V121">
        <v>2026</v>
      </c>
      <c r="W121">
        <v>2026</v>
      </c>
      <c r="X121" t="s">
        <v>107</v>
      </c>
      <c r="Y121">
        <v>0</v>
      </c>
      <c r="Z121">
        <v>0</v>
      </c>
      <c r="AA121">
        <v>0</v>
      </c>
      <c r="AB121" t="s">
        <v>88</v>
      </c>
      <c r="AC121">
        <v>85</v>
      </c>
      <c r="AD121">
        <v>84669</v>
      </c>
      <c r="AE121" t="s">
        <v>113</v>
      </c>
      <c r="AF121">
        <v>1836.77</v>
      </c>
      <c r="AG121">
        <v>5050.3500000000004</v>
      </c>
      <c r="AH121">
        <v>0</v>
      </c>
      <c r="AI121">
        <v>300000</v>
      </c>
      <c r="AJ121">
        <v>0</v>
      </c>
      <c r="AK121">
        <v>300000</v>
      </c>
      <c r="AL121">
        <v>10000</v>
      </c>
      <c r="AM121">
        <v>10000</v>
      </c>
      <c r="AN121">
        <v>554.88</v>
      </c>
      <c r="AO121">
        <v>0</v>
      </c>
      <c r="AP121">
        <v>138.72</v>
      </c>
      <c r="AQ121">
        <v>65.599999999999994</v>
      </c>
      <c r="AR121">
        <v>65.599999999999994</v>
      </c>
      <c r="AS121" t="s">
        <v>86</v>
      </c>
      <c r="AT121" t="s">
        <v>86</v>
      </c>
      <c r="AU121">
        <v>0</v>
      </c>
      <c r="AV121">
        <v>0</v>
      </c>
    </row>
    <row r="122" spans="1:48" x14ac:dyDescent="0.3">
      <c r="A122">
        <v>4133</v>
      </c>
      <c r="B122" t="s">
        <v>104</v>
      </c>
      <c r="C122" t="s">
        <v>464</v>
      </c>
      <c r="D122" t="s">
        <v>465</v>
      </c>
      <c r="E122" t="s">
        <v>138</v>
      </c>
      <c r="F122" t="s">
        <v>462</v>
      </c>
      <c r="G122" t="s">
        <v>463</v>
      </c>
      <c r="H122">
        <v>0</v>
      </c>
      <c r="I122">
        <v>0</v>
      </c>
      <c r="J122" t="s">
        <v>106</v>
      </c>
      <c r="K122" t="s">
        <v>106</v>
      </c>
      <c r="N122" s="9">
        <v>46136</v>
      </c>
      <c r="O122">
        <v>10764</v>
      </c>
      <c r="P122">
        <v>1</v>
      </c>
      <c r="Q122">
        <v>1</v>
      </c>
      <c r="R122" t="s">
        <v>86</v>
      </c>
      <c r="S122" t="s">
        <v>87</v>
      </c>
      <c r="T122" t="s">
        <v>89</v>
      </c>
      <c r="U122" t="s">
        <v>843</v>
      </c>
      <c r="V122">
        <v>2026</v>
      </c>
      <c r="W122">
        <v>2026</v>
      </c>
      <c r="X122" t="s">
        <v>107</v>
      </c>
      <c r="Y122">
        <v>0</v>
      </c>
      <c r="Z122">
        <v>0</v>
      </c>
      <c r="AA122">
        <v>0</v>
      </c>
      <c r="AB122" t="s">
        <v>88</v>
      </c>
      <c r="AC122">
        <v>85</v>
      </c>
      <c r="AD122">
        <v>84669</v>
      </c>
      <c r="AE122" t="s">
        <v>113</v>
      </c>
      <c r="AF122">
        <v>1067.58</v>
      </c>
      <c r="AG122">
        <v>5115</v>
      </c>
      <c r="AH122">
        <v>0</v>
      </c>
      <c r="AI122">
        <v>300000</v>
      </c>
      <c r="AJ122">
        <v>0</v>
      </c>
      <c r="AK122">
        <v>300000</v>
      </c>
      <c r="AL122">
        <v>10000</v>
      </c>
      <c r="AM122">
        <v>10000</v>
      </c>
      <c r="AN122">
        <v>305.02</v>
      </c>
      <c r="AO122">
        <v>0</v>
      </c>
      <c r="AP122">
        <v>76.260000000000005</v>
      </c>
      <c r="AQ122">
        <v>38.130000000000003</v>
      </c>
      <c r="AR122">
        <v>38.130000000000003</v>
      </c>
      <c r="AS122" t="s">
        <v>86</v>
      </c>
      <c r="AT122" t="s">
        <v>86</v>
      </c>
      <c r="AU122">
        <v>0</v>
      </c>
      <c r="AV122">
        <v>0</v>
      </c>
    </row>
    <row r="123" spans="1:48" x14ac:dyDescent="0.3">
      <c r="A123">
        <v>4253</v>
      </c>
      <c r="B123" t="s">
        <v>104</v>
      </c>
      <c r="C123" t="s">
        <v>466</v>
      </c>
      <c r="D123" t="s">
        <v>467</v>
      </c>
      <c r="E123" t="s">
        <v>105</v>
      </c>
      <c r="F123" t="s">
        <v>416</v>
      </c>
      <c r="G123" t="s">
        <v>417</v>
      </c>
      <c r="H123">
        <v>0</v>
      </c>
      <c r="I123">
        <v>0</v>
      </c>
      <c r="J123" t="s">
        <v>106</v>
      </c>
      <c r="K123" t="s">
        <v>106</v>
      </c>
      <c r="N123" s="9">
        <v>46140</v>
      </c>
      <c r="O123">
        <v>10669</v>
      </c>
      <c r="P123">
        <v>1</v>
      </c>
      <c r="Q123">
        <v>12</v>
      </c>
      <c r="R123" t="s">
        <v>86</v>
      </c>
      <c r="S123" t="s">
        <v>87</v>
      </c>
      <c r="T123" t="s">
        <v>89</v>
      </c>
      <c r="U123" t="s">
        <v>839</v>
      </c>
      <c r="V123">
        <v>2026</v>
      </c>
      <c r="W123">
        <v>2026</v>
      </c>
      <c r="X123" t="s">
        <v>107</v>
      </c>
      <c r="Y123">
        <v>0</v>
      </c>
      <c r="Z123">
        <v>0</v>
      </c>
      <c r="AA123">
        <v>0</v>
      </c>
      <c r="AB123" t="s">
        <v>88</v>
      </c>
      <c r="AC123">
        <v>85</v>
      </c>
      <c r="AD123">
        <v>84669</v>
      </c>
      <c r="AE123" t="s">
        <v>108</v>
      </c>
      <c r="AF123">
        <v>1825.9</v>
      </c>
      <c r="AG123">
        <v>5050.3500000000004</v>
      </c>
      <c r="AH123">
        <v>0</v>
      </c>
      <c r="AI123">
        <v>150000</v>
      </c>
      <c r="AJ123">
        <v>0</v>
      </c>
      <c r="AK123">
        <v>150000</v>
      </c>
      <c r="AL123">
        <v>10000</v>
      </c>
      <c r="AM123">
        <v>10000</v>
      </c>
      <c r="AN123">
        <v>521.69000000000005</v>
      </c>
      <c r="AO123">
        <v>0</v>
      </c>
      <c r="AP123">
        <v>130.41999999999999</v>
      </c>
      <c r="AQ123">
        <v>65.209999999999994</v>
      </c>
      <c r="AR123">
        <v>65.209999999999994</v>
      </c>
      <c r="AS123" t="s">
        <v>86</v>
      </c>
      <c r="AT123" t="s">
        <v>86</v>
      </c>
      <c r="AU123">
        <v>0</v>
      </c>
      <c r="AV123">
        <v>0</v>
      </c>
    </row>
    <row r="124" spans="1:48" x14ac:dyDescent="0.3">
      <c r="A124">
        <v>4136</v>
      </c>
      <c r="B124" t="s">
        <v>104</v>
      </c>
      <c r="C124" t="s">
        <v>468</v>
      </c>
      <c r="D124" t="s">
        <v>469</v>
      </c>
      <c r="E124" t="s">
        <v>105</v>
      </c>
      <c r="F124" t="s">
        <v>149</v>
      </c>
      <c r="G124" t="s">
        <v>150</v>
      </c>
      <c r="H124">
        <v>0</v>
      </c>
      <c r="I124">
        <v>0</v>
      </c>
      <c r="J124" t="s">
        <v>106</v>
      </c>
      <c r="K124" t="s">
        <v>106</v>
      </c>
      <c r="N124" s="9">
        <v>46136</v>
      </c>
      <c r="O124">
        <v>10681</v>
      </c>
      <c r="P124">
        <v>1</v>
      </c>
      <c r="Q124">
        <v>21</v>
      </c>
      <c r="R124" t="s">
        <v>86</v>
      </c>
      <c r="S124" t="s">
        <v>87</v>
      </c>
      <c r="T124" t="s">
        <v>89</v>
      </c>
      <c r="U124" t="s">
        <v>839</v>
      </c>
      <c r="V124">
        <v>2026</v>
      </c>
      <c r="W124">
        <v>2026</v>
      </c>
      <c r="X124" t="s">
        <v>107</v>
      </c>
      <c r="Y124">
        <v>0</v>
      </c>
      <c r="Z124">
        <v>0</v>
      </c>
      <c r="AA124">
        <v>0</v>
      </c>
      <c r="AB124" t="s">
        <v>88</v>
      </c>
      <c r="AC124">
        <v>85</v>
      </c>
      <c r="AD124">
        <v>84669</v>
      </c>
      <c r="AE124" t="s">
        <v>108</v>
      </c>
      <c r="AF124">
        <v>1825.9</v>
      </c>
      <c r="AG124">
        <v>5050.3500000000004</v>
      </c>
      <c r="AH124">
        <v>0</v>
      </c>
      <c r="AI124">
        <v>150000</v>
      </c>
      <c r="AJ124">
        <v>0</v>
      </c>
      <c r="AK124">
        <v>150000</v>
      </c>
      <c r="AL124">
        <v>10000</v>
      </c>
      <c r="AM124">
        <v>10000</v>
      </c>
      <c r="AN124">
        <v>521.69000000000005</v>
      </c>
      <c r="AO124">
        <v>0</v>
      </c>
      <c r="AP124">
        <v>130.41999999999999</v>
      </c>
      <c r="AQ124">
        <v>65.209999999999994</v>
      </c>
      <c r="AR124">
        <v>65.209999999999994</v>
      </c>
      <c r="AS124" t="s">
        <v>86</v>
      </c>
      <c r="AT124" t="s">
        <v>86</v>
      </c>
      <c r="AU124">
        <v>0</v>
      </c>
      <c r="AV124">
        <v>0</v>
      </c>
    </row>
    <row r="125" spans="1:48" x14ac:dyDescent="0.3">
      <c r="A125">
        <v>4137</v>
      </c>
      <c r="B125" t="s">
        <v>104</v>
      </c>
      <c r="C125" t="s">
        <v>472</v>
      </c>
      <c r="D125" t="s">
        <v>473</v>
      </c>
      <c r="E125" t="s">
        <v>105</v>
      </c>
      <c r="F125" t="s">
        <v>470</v>
      </c>
      <c r="G125" t="s">
        <v>471</v>
      </c>
      <c r="H125">
        <v>0</v>
      </c>
      <c r="I125">
        <v>0</v>
      </c>
      <c r="J125" t="s">
        <v>106</v>
      </c>
      <c r="K125" t="s">
        <v>106</v>
      </c>
      <c r="N125" s="9">
        <v>46136</v>
      </c>
      <c r="O125">
        <v>10698</v>
      </c>
      <c r="P125">
        <v>1</v>
      </c>
      <c r="Q125">
        <v>1</v>
      </c>
      <c r="R125" t="s">
        <v>86</v>
      </c>
      <c r="S125" t="s">
        <v>87</v>
      </c>
      <c r="T125" t="s">
        <v>89</v>
      </c>
      <c r="U125" t="s">
        <v>844</v>
      </c>
      <c r="V125">
        <v>2026</v>
      </c>
      <c r="W125">
        <v>2026</v>
      </c>
      <c r="X125" t="s">
        <v>107</v>
      </c>
      <c r="Y125">
        <v>0</v>
      </c>
      <c r="Z125">
        <v>0</v>
      </c>
      <c r="AA125">
        <v>0</v>
      </c>
      <c r="AB125" t="s">
        <v>88</v>
      </c>
      <c r="AC125">
        <v>85</v>
      </c>
      <c r="AD125">
        <v>84669</v>
      </c>
      <c r="AE125" t="s">
        <v>108</v>
      </c>
      <c r="AF125">
        <v>1825.9</v>
      </c>
      <c r="AG125">
        <v>5050.3500000000004</v>
      </c>
      <c r="AH125">
        <v>0</v>
      </c>
      <c r="AI125">
        <v>150000</v>
      </c>
      <c r="AJ125">
        <v>0</v>
      </c>
      <c r="AK125">
        <v>150000</v>
      </c>
      <c r="AL125">
        <v>10000</v>
      </c>
      <c r="AM125">
        <v>10000</v>
      </c>
      <c r="AN125">
        <v>521.69000000000005</v>
      </c>
      <c r="AO125">
        <v>0</v>
      </c>
      <c r="AP125">
        <v>130.41999999999999</v>
      </c>
      <c r="AQ125">
        <v>65.209999999999994</v>
      </c>
      <c r="AR125">
        <v>65.209999999999994</v>
      </c>
      <c r="AS125" t="s">
        <v>86</v>
      </c>
      <c r="AT125" t="s">
        <v>86</v>
      </c>
      <c r="AU125">
        <v>0</v>
      </c>
      <c r="AV125">
        <v>0</v>
      </c>
    </row>
    <row r="126" spans="1:48" x14ac:dyDescent="0.3">
      <c r="A126">
        <v>4138</v>
      </c>
      <c r="B126" t="s">
        <v>104</v>
      </c>
      <c r="C126" t="s">
        <v>474</v>
      </c>
      <c r="D126" t="s">
        <v>475</v>
      </c>
      <c r="E126" t="s">
        <v>105</v>
      </c>
      <c r="F126" t="s">
        <v>470</v>
      </c>
      <c r="G126" t="s">
        <v>471</v>
      </c>
      <c r="H126">
        <v>0</v>
      </c>
      <c r="I126">
        <v>0</v>
      </c>
      <c r="J126" t="s">
        <v>106</v>
      </c>
      <c r="K126" t="s">
        <v>106</v>
      </c>
      <c r="N126" s="9">
        <v>46136</v>
      </c>
      <c r="O126">
        <v>10698</v>
      </c>
      <c r="P126">
        <v>1</v>
      </c>
      <c r="Q126">
        <v>2</v>
      </c>
      <c r="R126" t="s">
        <v>86</v>
      </c>
      <c r="S126" t="s">
        <v>87</v>
      </c>
      <c r="T126" t="s">
        <v>89</v>
      </c>
      <c r="U126" t="s">
        <v>844</v>
      </c>
      <c r="V126">
        <v>2026</v>
      </c>
      <c r="W126">
        <v>2026</v>
      </c>
      <c r="X126" t="s">
        <v>107</v>
      </c>
      <c r="Y126">
        <v>0</v>
      </c>
      <c r="Z126">
        <v>0</v>
      </c>
      <c r="AA126">
        <v>0</v>
      </c>
      <c r="AB126" t="s">
        <v>88</v>
      </c>
      <c r="AC126">
        <v>85</v>
      </c>
      <c r="AD126">
        <v>84669</v>
      </c>
      <c r="AE126" t="s">
        <v>108</v>
      </c>
      <c r="AF126">
        <v>1825.9</v>
      </c>
      <c r="AG126">
        <v>5050.3500000000004</v>
      </c>
      <c r="AH126">
        <v>0</v>
      </c>
      <c r="AI126">
        <v>150000</v>
      </c>
      <c r="AJ126">
        <v>0</v>
      </c>
      <c r="AK126">
        <v>150000</v>
      </c>
      <c r="AL126">
        <v>10000</v>
      </c>
      <c r="AM126">
        <v>10000</v>
      </c>
      <c r="AN126">
        <v>521.69000000000005</v>
      </c>
      <c r="AO126">
        <v>0</v>
      </c>
      <c r="AP126">
        <v>130.41999999999999</v>
      </c>
      <c r="AQ126">
        <v>65.209999999999994</v>
      </c>
      <c r="AR126">
        <v>65.209999999999994</v>
      </c>
      <c r="AS126" t="s">
        <v>86</v>
      </c>
      <c r="AT126" t="s">
        <v>86</v>
      </c>
      <c r="AU126">
        <v>0</v>
      </c>
      <c r="AV126">
        <v>0</v>
      </c>
    </row>
    <row r="127" spans="1:48" x14ac:dyDescent="0.3">
      <c r="A127">
        <v>4139</v>
      </c>
      <c r="B127" t="s">
        <v>104</v>
      </c>
      <c r="C127" t="s">
        <v>476</v>
      </c>
      <c r="D127" t="s">
        <v>477</v>
      </c>
      <c r="E127" t="s">
        <v>105</v>
      </c>
      <c r="F127" t="s">
        <v>470</v>
      </c>
      <c r="G127" t="s">
        <v>471</v>
      </c>
      <c r="H127">
        <v>0</v>
      </c>
      <c r="I127">
        <v>0</v>
      </c>
      <c r="J127" t="s">
        <v>106</v>
      </c>
      <c r="K127" t="s">
        <v>106</v>
      </c>
      <c r="N127" s="9">
        <v>46136</v>
      </c>
      <c r="O127">
        <v>10698</v>
      </c>
      <c r="P127">
        <v>1</v>
      </c>
      <c r="Q127">
        <v>3</v>
      </c>
      <c r="R127" t="s">
        <v>86</v>
      </c>
      <c r="S127" t="s">
        <v>87</v>
      </c>
      <c r="T127" t="s">
        <v>89</v>
      </c>
      <c r="U127" t="s">
        <v>844</v>
      </c>
      <c r="V127">
        <v>2026</v>
      </c>
      <c r="W127">
        <v>2026</v>
      </c>
      <c r="X127" t="s">
        <v>107</v>
      </c>
      <c r="Y127">
        <v>0</v>
      </c>
      <c r="Z127">
        <v>0</v>
      </c>
      <c r="AA127">
        <v>0</v>
      </c>
      <c r="AB127" t="s">
        <v>88</v>
      </c>
      <c r="AC127">
        <v>85</v>
      </c>
      <c r="AD127">
        <v>84669</v>
      </c>
      <c r="AE127" t="s">
        <v>108</v>
      </c>
      <c r="AF127">
        <v>1825.9</v>
      </c>
      <c r="AG127">
        <v>5050.3500000000004</v>
      </c>
      <c r="AH127">
        <v>0</v>
      </c>
      <c r="AI127">
        <v>150000</v>
      </c>
      <c r="AJ127">
        <v>0</v>
      </c>
      <c r="AK127">
        <v>150000</v>
      </c>
      <c r="AL127">
        <v>10000</v>
      </c>
      <c r="AM127">
        <v>10000</v>
      </c>
      <c r="AN127">
        <v>521.69000000000005</v>
      </c>
      <c r="AO127">
        <v>0</v>
      </c>
      <c r="AP127">
        <v>130.41999999999999</v>
      </c>
      <c r="AQ127">
        <v>65.209999999999994</v>
      </c>
      <c r="AR127">
        <v>65.209999999999994</v>
      </c>
      <c r="AS127" t="s">
        <v>86</v>
      </c>
      <c r="AT127" t="s">
        <v>86</v>
      </c>
      <c r="AU127">
        <v>0</v>
      </c>
      <c r="AV127">
        <v>0</v>
      </c>
    </row>
    <row r="128" spans="1:48" x14ac:dyDescent="0.3">
      <c r="A128">
        <v>4140</v>
      </c>
      <c r="B128" t="s">
        <v>104</v>
      </c>
      <c r="C128" t="s">
        <v>478</v>
      </c>
      <c r="D128" t="s">
        <v>479</v>
      </c>
      <c r="E128" t="s">
        <v>105</v>
      </c>
      <c r="F128" t="s">
        <v>470</v>
      </c>
      <c r="G128" t="s">
        <v>471</v>
      </c>
      <c r="H128">
        <v>0</v>
      </c>
      <c r="I128">
        <v>0</v>
      </c>
      <c r="J128" t="s">
        <v>106</v>
      </c>
      <c r="K128" t="s">
        <v>106</v>
      </c>
      <c r="N128" s="9">
        <v>46136</v>
      </c>
      <c r="O128">
        <v>10698</v>
      </c>
      <c r="P128">
        <v>1</v>
      </c>
      <c r="Q128">
        <v>4</v>
      </c>
      <c r="R128" t="s">
        <v>86</v>
      </c>
      <c r="S128" t="s">
        <v>87</v>
      </c>
      <c r="T128" t="s">
        <v>89</v>
      </c>
      <c r="U128" t="s">
        <v>844</v>
      </c>
      <c r="V128">
        <v>2026</v>
      </c>
      <c r="W128">
        <v>2026</v>
      </c>
      <c r="X128" t="s">
        <v>107</v>
      </c>
      <c r="Y128">
        <v>0</v>
      </c>
      <c r="Z128">
        <v>0</v>
      </c>
      <c r="AA128">
        <v>0</v>
      </c>
      <c r="AB128" t="s">
        <v>88</v>
      </c>
      <c r="AC128">
        <v>85</v>
      </c>
      <c r="AD128">
        <v>84669</v>
      </c>
      <c r="AE128" t="s">
        <v>108</v>
      </c>
      <c r="AF128">
        <v>1825.9</v>
      </c>
      <c r="AG128">
        <v>5050.3500000000004</v>
      </c>
      <c r="AH128">
        <v>0</v>
      </c>
      <c r="AI128">
        <v>150000</v>
      </c>
      <c r="AJ128">
        <v>0</v>
      </c>
      <c r="AK128">
        <v>150000</v>
      </c>
      <c r="AL128">
        <v>10000</v>
      </c>
      <c r="AM128">
        <v>10000</v>
      </c>
      <c r="AN128">
        <v>521.69000000000005</v>
      </c>
      <c r="AO128">
        <v>0</v>
      </c>
      <c r="AP128">
        <v>130.41999999999999</v>
      </c>
      <c r="AQ128">
        <v>65.209999999999994</v>
      </c>
      <c r="AR128">
        <v>65.209999999999994</v>
      </c>
      <c r="AS128" t="s">
        <v>86</v>
      </c>
      <c r="AT128" t="s">
        <v>86</v>
      </c>
      <c r="AU128">
        <v>0</v>
      </c>
      <c r="AV128">
        <v>0</v>
      </c>
    </row>
    <row r="129" spans="1:48" x14ac:dyDescent="0.3">
      <c r="A129">
        <v>4141</v>
      </c>
      <c r="B129" t="s">
        <v>104</v>
      </c>
      <c r="C129" t="s">
        <v>480</v>
      </c>
      <c r="D129" t="s">
        <v>481</v>
      </c>
      <c r="E129" t="s">
        <v>105</v>
      </c>
      <c r="F129" t="s">
        <v>470</v>
      </c>
      <c r="G129" t="s">
        <v>471</v>
      </c>
      <c r="H129">
        <v>0</v>
      </c>
      <c r="I129">
        <v>0</v>
      </c>
      <c r="J129" t="s">
        <v>106</v>
      </c>
      <c r="K129" t="s">
        <v>106</v>
      </c>
      <c r="N129" s="9">
        <v>46136</v>
      </c>
      <c r="O129">
        <v>10698</v>
      </c>
      <c r="P129">
        <v>1</v>
      </c>
      <c r="Q129">
        <v>5</v>
      </c>
      <c r="R129" t="s">
        <v>86</v>
      </c>
      <c r="S129" t="s">
        <v>87</v>
      </c>
      <c r="T129" t="s">
        <v>89</v>
      </c>
      <c r="U129" t="s">
        <v>844</v>
      </c>
      <c r="V129">
        <v>2026</v>
      </c>
      <c r="W129">
        <v>2026</v>
      </c>
      <c r="X129" t="s">
        <v>107</v>
      </c>
      <c r="Y129">
        <v>0</v>
      </c>
      <c r="Z129">
        <v>0</v>
      </c>
      <c r="AA129">
        <v>0</v>
      </c>
      <c r="AB129" t="s">
        <v>88</v>
      </c>
      <c r="AC129">
        <v>85</v>
      </c>
      <c r="AD129">
        <v>84669</v>
      </c>
      <c r="AE129" t="s">
        <v>108</v>
      </c>
      <c r="AF129">
        <v>1825.9</v>
      </c>
      <c r="AG129">
        <v>5050.3500000000004</v>
      </c>
      <c r="AH129">
        <v>0</v>
      </c>
      <c r="AI129">
        <v>150000</v>
      </c>
      <c r="AJ129">
        <v>0</v>
      </c>
      <c r="AK129">
        <v>150000</v>
      </c>
      <c r="AL129">
        <v>10000</v>
      </c>
      <c r="AM129">
        <v>10000</v>
      </c>
      <c r="AN129">
        <v>521.69000000000005</v>
      </c>
      <c r="AO129">
        <v>0</v>
      </c>
      <c r="AP129">
        <v>130.41999999999999</v>
      </c>
      <c r="AQ129">
        <v>65.209999999999994</v>
      </c>
      <c r="AR129">
        <v>65.209999999999994</v>
      </c>
      <c r="AS129" t="s">
        <v>86</v>
      </c>
      <c r="AT129" t="s">
        <v>86</v>
      </c>
      <c r="AU129">
        <v>0</v>
      </c>
      <c r="AV129">
        <v>0</v>
      </c>
    </row>
    <row r="130" spans="1:48" x14ac:dyDescent="0.3">
      <c r="A130">
        <v>4142</v>
      </c>
      <c r="B130" t="s">
        <v>104</v>
      </c>
      <c r="C130" t="s">
        <v>482</v>
      </c>
      <c r="D130" t="s">
        <v>483</v>
      </c>
      <c r="E130" t="s">
        <v>105</v>
      </c>
      <c r="F130" t="s">
        <v>470</v>
      </c>
      <c r="G130" t="s">
        <v>471</v>
      </c>
      <c r="H130">
        <v>0</v>
      </c>
      <c r="I130">
        <v>0</v>
      </c>
      <c r="J130" t="s">
        <v>106</v>
      </c>
      <c r="K130" t="s">
        <v>106</v>
      </c>
      <c r="N130" s="9">
        <v>46136</v>
      </c>
      <c r="O130">
        <v>10698</v>
      </c>
      <c r="P130">
        <v>1</v>
      </c>
      <c r="Q130">
        <v>6</v>
      </c>
      <c r="R130" t="s">
        <v>86</v>
      </c>
      <c r="S130" t="s">
        <v>87</v>
      </c>
      <c r="T130" t="s">
        <v>89</v>
      </c>
      <c r="U130" t="s">
        <v>844</v>
      </c>
      <c r="V130">
        <v>2026</v>
      </c>
      <c r="W130">
        <v>2026</v>
      </c>
      <c r="X130" t="s">
        <v>107</v>
      </c>
      <c r="Y130">
        <v>0</v>
      </c>
      <c r="Z130">
        <v>0</v>
      </c>
      <c r="AA130">
        <v>0</v>
      </c>
      <c r="AB130" t="s">
        <v>88</v>
      </c>
      <c r="AC130">
        <v>85</v>
      </c>
      <c r="AD130">
        <v>84669</v>
      </c>
      <c r="AE130" t="s">
        <v>108</v>
      </c>
      <c r="AF130">
        <v>1825.9</v>
      </c>
      <c r="AG130">
        <v>5050.3500000000004</v>
      </c>
      <c r="AH130">
        <v>0</v>
      </c>
      <c r="AI130">
        <v>150000</v>
      </c>
      <c r="AJ130">
        <v>0</v>
      </c>
      <c r="AK130">
        <v>150000</v>
      </c>
      <c r="AL130">
        <v>10000</v>
      </c>
      <c r="AM130">
        <v>10000</v>
      </c>
      <c r="AN130">
        <v>521.69000000000005</v>
      </c>
      <c r="AO130">
        <v>0</v>
      </c>
      <c r="AP130">
        <v>130.41999999999999</v>
      </c>
      <c r="AQ130">
        <v>65.209999999999994</v>
      </c>
      <c r="AR130">
        <v>65.209999999999994</v>
      </c>
      <c r="AS130" t="s">
        <v>86</v>
      </c>
      <c r="AT130" t="s">
        <v>86</v>
      </c>
      <c r="AU130">
        <v>0</v>
      </c>
      <c r="AV130">
        <v>0</v>
      </c>
    </row>
    <row r="131" spans="1:48" x14ac:dyDescent="0.3">
      <c r="A131">
        <v>4143</v>
      </c>
      <c r="B131" t="s">
        <v>104</v>
      </c>
      <c r="C131" t="s">
        <v>484</v>
      </c>
      <c r="D131" t="s">
        <v>485</v>
      </c>
      <c r="E131" t="s">
        <v>105</v>
      </c>
      <c r="F131" t="s">
        <v>470</v>
      </c>
      <c r="G131" t="s">
        <v>471</v>
      </c>
      <c r="H131">
        <v>0</v>
      </c>
      <c r="I131">
        <v>0</v>
      </c>
      <c r="J131" t="s">
        <v>106</v>
      </c>
      <c r="K131" t="s">
        <v>106</v>
      </c>
      <c r="N131" s="9">
        <v>46136</v>
      </c>
      <c r="O131">
        <v>10698</v>
      </c>
      <c r="P131">
        <v>1</v>
      </c>
      <c r="Q131">
        <v>7</v>
      </c>
      <c r="R131" t="s">
        <v>86</v>
      </c>
      <c r="S131" t="s">
        <v>87</v>
      </c>
      <c r="T131" t="s">
        <v>89</v>
      </c>
      <c r="U131" t="s">
        <v>844</v>
      </c>
      <c r="V131">
        <v>2026</v>
      </c>
      <c r="W131">
        <v>2026</v>
      </c>
      <c r="X131" t="s">
        <v>107</v>
      </c>
      <c r="Y131">
        <v>0</v>
      </c>
      <c r="Z131">
        <v>0</v>
      </c>
      <c r="AA131">
        <v>0</v>
      </c>
      <c r="AB131" t="s">
        <v>88</v>
      </c>
      <c r="AC131">
        <v>85</v>
      </c>
      <c r="AD131">
        <v>84669</v>
      </c>
      <c r="AE131" t="s">
        <v>108</v>
      </c>
      <c r="AF131">
        <v>1825.9</v>
      </c>
      <c r="AG131">
        <v>5050.3500000000004</v>
      </c>
      <c r="AH131">
        <v>0</v>
      </c>
      <c r="AI131">
        <v>150000</v>
      </c>
      <c r="AJ131">
        <v>0</v>
      </c>
      <c r="AK131">
        <v>150000</v>
      </c>
      <c r="AL131">
        <v>10000</v>
      </c>
      <c r="AM131">
        <v>10000</v>
      </c>
      <c r="AN131">
        <v>521.69000000000005</v>
      </c>
      <c r="AO131">
        <v>0</v>
      </c>
      <c r="AP131">
        <v>130.41999999999999</v>
      </c>
      <c r="AQ131">
        <v>65.209999999999994</v>
      </c>
      <c r="AR131">
        <v>65.209999999999994</v>
      </c>
      <c r="AS131" t="s">
        <v>86</v>
      </c>
      <c r="AT131" t="s">
        <v>86</v>
      </c>
      <c r="AU131">
        <v>0</v>
      </c>
      <c r="AV131">
        <v>0</v>
      </c>
    </row>
    <row r="132" spans="1:48" x14ac:dyDescent="0.3">
      <c r="A132">
        <v>4144</v>
      </c>
      <c r="B132" t="s">
        <v>104</v>
      </c>
      <c r="C132" t="s">
        <v>486</v>
      </c>
      <c r="D132" t="s">
        <v>487</v>
      </c>
      <c r="E132" t="s">
        <v>105</v>
      </c>
      <c r="F132" t="s">
        <v>470</v>
      </c>
      <c r="G132" t="s">
        <v>471</v>
      </c>
      <c r="H132">
        <v>0</v>
      </c>
      <c r="I132">
        <v>0</v>
      </c>
      <c r="J132" t="s">
        <v>106</v>
      </c>
      <c r="K132" t="s">
        <v>106</v>
      </c>
      <c r="N132" s="9">
        <v>46136</v>
      </c>
      <c r="O132">
        <v>10698</v>
      </c>
      <c r="P132">
        <v>1</v>
      </c>
      <c r="Q132">
        <v>8</v>
      </c>
      <c r="R132" t="s">
        <v>86</v>
      </c>
      <c r="S132" t="s">
        <v>87</v>
      </c>
      <c r="T132" t="s">
        <v>89</v>
      </c>
      <c r="U132" t="s">
        <v>844</v>
      </c>
      <c r="V132">
        <v>2026</v>
      </c>
      <c r="W132">
        <v>2026</v>
      </c>
      <c r="X132" t="s">
        <v>107</v>
      </c>
      <c r="Y132">
        <v>0</v>
      </c>
      <c r="Z132">
        <v>0</v>
      </c>
      <c r="AA132">
        <v>0</v>
      </c>
      <c r="AB132" t="s">
        <v>88</v>
      </c>
      <c r="AC132">
        <v>85</v>
      </c>
      <c r="AD132">
        <v>84669</v>
      </c>
      <c r="AE132" t="s">
        <v>108</v>
      </c>
      <c r="AF132">
        <v>1825.9</v>
      </c>
      <c r="AG132">
        <v>5050.3500000000004</v>
      </c>
      <c r="AH132">
        <v>0</v>
      </c>
      <c r="AI132">
        <v>150000</v>
      </c>
      <c r="AJ132">
        <v>0</v>
      </c>
      <c r="AK132">
        <v>150000</v>
      </c>
      <c r="AL132">
        <v>10000</v>
      </c>
      <c r="AM132">
        <v>10000</v>
      </c>
      <c r="AN132">
        <v>521.69000000000005</v>
      </c>
      <c r="AO132">
        <v>0</v>
      </c>
      <c r="AP132">
        <v>130.41999999999999</v>
      </c>
      <c r="AQ132">
        <v>65.209999999999994</v>
      </c>
      <c r="AR132">
        <v>65.209999999999994</v>
      </c>
      <c r="AS132" t="s">
        <v>86</v>
      </c>
      <c r="AT132" t="s">
        <v>86</v>
      </c>
      <c r="AU132">
        <v>0</v>
      </c>
      <c r="AV132">
        <v>0</v>
      </c>
    </row>
    <row r="133" spans="1:48" x14ac:dyDescent="0.3">
      <c r="A133">
        <v>4145</v>
      </c>
      <c r="B133" t="s">
        <v>104</v>
      </c>
      <c r="C133" t="s">
        <v>488</v>
      </c>
      <c r="D133" t="s">
        <v>489</v>
      </c>
      <c r="E133" t="s">
        <v>105</v>
      </c>
      <c r="F133" t="s">
        <v>470</v>
      </c>
      <c r="G133" t="s">
        <v>471</v>
      </c>
      <c r="H133">
        <v>0</v>
      </c>
      <c r="I133">
        <v>0</v>
      </c>
      <c r="J133" t="s">
        <v>106</v>
      </c>
      <c r="K133" t="s">
        <v>106</v>
      </c>
      <c r="N133" s="9">
        <v>46136</v>
      </c>
      <c r="O133">
        <v>10698</v>
      </c>
      <c r="P133">
        <v>1</v>
      </c>
      <c r="Q133">
        <v>9</v>
      </c>
      <c r="R133" t="s">
        <v>86</v>
      </c>
      <c r="S133" t="s">
        <v>87</v>
      </c>
      <c r="T133" t="s">
        <v>89</v>
      </c>
      <c r="U133" t="s">
        <v>844</v>
      </c>
      <c r="V133">
        <v>2026</v>
      </c>
      <c r="W133">
        <v>2026</v>
      </c>
      <c r="X133" t="s">
        <v>107</v>
      </c>
      <c r="Y133">
        <v>0</v>
      </c>
      <c r="Z133">
        <v>0</v>
      </c>
      <c r="AA133">
        <v>0</v>
      </c>
      <c r="AB133" t="s">
        <v>88</v>
      </c>
      <c r="AC133">
        <v>85</v>
      </c>
      <c r="AD133">
        <v>84669</v>
      </c>
      <c r="AE133" t="s">
        <v>108</v>
      </c>
      <c r="AF133">
        <v>1825.9</v>
      </c>
      <c r="AG133">
        <v>5050.3500000000004</v>
      </c>
      <c r="AH133">
        <v>0</v>
      </c>
      <c r="AI133">
        <v>150000</v>
      </c>
      <c r="AJ133">
        <v>0</v>
      </c>
      <c r="AK133">
        <v>150000</v>
      </c>
      <c r="AL133">
        <v>10000</v>
      </c>
      <c r="AM133">
        <v>10000</v>
      </c>
      <c r="AN133">
        <v>521.69000000000005</v>
      </c>
      <c r="AO133">
        <v>0</v>
      </c>
      <c r="AP133">
        <v>130.41999999999999</v>
      </c>
      <c r="AQ133">
        <v>65.209999999999994</v>
      </c>
      <c r="AR133">
        <v>65.209999999999994</v>
      </c>
      <c r="AS133" t="s">
        <v>86</v>
      </c>
      <c r="AT133" t="s">
        <v>86</v>
      </c>
      <c r="AU133">
        <v>0</v>
      </c>
      <c r="AV133">
        <v>0</v>
      </c>
    </row>
    <row r="134" spans="1:48" x14ac:dyDescent="0.3">
      <c r="A134">
        <v>4146</v>
      </c>
      <c r="B134" t="s">
        <v>104</v>
      </c>
      <c r="C134" t="s">
        <v>490</v>
      </c>
      <c r="D134" t="s">
        <v>491</v>
      </c>
      <c r="E134" t="s">
        <v>105</v>
      </c>
      <c r="F134" t="s">
        <v>470</v>
      </c>
      <c r="G134" t="s">
        <v>471</v>
      </c>
      <c r="H134">
        <v>0</v>
      </c>
      <c r="I134">
        <v>0</v>
      </c>
      <c r="J134" t="s">
        <v>106</v>
      </c>
      <c r="K134" t="s">
        <v>106</v>
      </c>
      <c r="N134" s="9">
        <v>46136</v>
      </c>
      <c r="O134">
        <v>10698</v>
      </c>
      <c r="P134">
        <v>1</v>
      </c>
      <c r="Q134">
        <v>10</v>
      </c>
      <c r="R134" t="s">
        <v>86</v>
      </c>
      <c r="S134" t="s">
        <v>87</v>
      </c>
      <c r="T134" t="s">
        <v>89</v>
      </c>
      <c r="U134" t="s">
        <v>844</v>
      </c>
      <c r="V134">
        <v>2026</v>
      </c>
      <c r="W134">
        <v>2026</v>
      </c>
      <c r="X134" t="s">
        <v>107</v>
      </c>
      <c r="Y134">
        <v>0</v>
      </c>
      <c r="Z134">
        <v>0</v>
      </c>
      <c r="AA134">
        <v>0</v>
      </c>
      <c r="AB134" t="s">
        <v>88</v>
      </c>
      <c r="AC134">
        <v>85</v>
      </c>
      <c r="AD134">
        <v>84669</v>
      </c>
      <c r="AE134" t="s">
        <v>108</v>
      </c>
      <c r="AF134">
        <v>1825.9</v>
      </c>
      <c r="AG134">
        <v>5050.3500000000004</v>
      </c>
      <c r="AH134">
        <v>0</v>
      </c>
      <c r="AI134">
        <v>150000</v>
      </c>
      <c r="AJ134">
        <v>0</v>
      </c>
      <c r="AK134">
        <v>150000</v>
      </c>
      <c r="AL134">
        <v>10000</v>
      </c>
      <c r="AM134">
        <v>10000</v>
      </c>
      <c r="AN134">
        <v>521.69000000000005</v>
      </c>
      <c r="AO134">
        <v>0</v>
      </c>
      <c r="AP134">
        <v>130.41999999999999</v>
      </c>
      <c r="AQ134">
        <v>65.209999999999994</v>
      </c>
      <c r="AR134">
        <v>65.209999999999994</v>
      </c>
      <c r="AS134" t="s">
        <v>86</v>
      </c>
      <c r="AT134" t="s">
        <v>86</v>
      </c>
      <c r="AU134">
        <v>0</v>
      </c>
      <c r="AV134">
        <v>0</v>
      </c>
    </row>
    <row r="135" spans="1:48" x14ac:dyDescent="0.3">
      <c r="A135">
        <v>4147</v>
      </c>
      <c r="B135" t="s">
        <v>104</v>
      </c>
      <c r="C135" t="s">
        <v>492</v>
      </c>
      <c r="D135" t="s">
        <v>493</v>
      </c>
      <c r="E135" t="s">
        <v>105</v>
      </c>
      <c r="F135" t="s">
        <v>470</v>
      </c>
      <c r="G135" t="s">
        <v>471</v>
      </c>
      <c r="H135">
        <v>0</v>
      </c>
      <c r="I135">
        <v>0</v>
      </c>
      <c r="J135" t="s">
        <v>106</v>
      </c>
      <c r="K135" t="s">
        <v>106</v>
      </c>
      <c r="N135" s="9">
        <v>46136</v>
      </c>
      <c r="O135">
        <v>10698</v>
      </c>
      <c r="P135">
        <v>1</v>
      </c>
      <c r="Q135">
        <v>11</v>
      </c>
      <c r="R135" t="s">
        <v>86</v>
      </c>
      <c r="S135" t="s">
        <v>87</v>
      </c>
      <c r="T135" t="s">
        <v>89</v>
      </c>
      <c r="U135" t="s">
        <v>844</v>
      </c>
      <c r="V135">
        <v>2026</v>
      </c>
      <c r="W135">
        <v>2026</v>
      </c>
      <c r="X135" t="s">
        <v>107</v>
      </c>
      <c r="Y135">
        <v>0</v>
      </c>
      <c r="Z135">
        <v>0</v>
      </c>
      <c r="AA135">
        <v>0</v>
      </c>
      <c r="AB135" t="s">
        <v>88</v>
      </c>
      <c r="AC135">
        <v>85</v>
      </c>
      <c r="AD135">
        <v>84669</v>
      </c>
      <c r="AE135" t="s">
        <v>108</v>
      </c>
      <c r="AF135">
        <v>1825.9</v>
      </c>
      <c r="AG135">
        <v>5050.3500000000004</v>
      </c>
      <c r="AH135">
        <v>0</v>
      </c>
      <c r="AI135">
        <v>150000</v>
      </c>
      <c r="AJ135">
        <v>0</v>
      </c>
      <c r="AK135">
        <v>150000</v>
      </c>
      <c r="AL135">
        <v>10000</v>
      </c>
      <c r="AM135">
        <v>10000</v>
      </c>
      <c r="AN135">
        <v>521.69000000000005</v>
      </c>
      <c r="AO135">
        <v>0</v>
      </c>
      <c r="AP135">
        <v>130.41999999999999</v>
      </c>
      <c r="AQ135">
        <v>65.209999999999994</v>
      </c>
      <c r="AR135">
        <v>65.209999999999994</v>
      </c>
      <c r="AS135" t="s">
        <v>86</v>
      </c>
      <c r="AT135" t="s">
        <v>86</v>
      </c>
      <c r="AU135">
        <v>0</v>
      </c>
      <c r="AV135">
        <v>0</v>
      </c>
    </row>
    <row r="136" spans="1:48" x14ac:dyDescent="0.3">
      <c r="A136">
        <v>4148</v>
      </c>
      <c r="B136" t="s">
        <v>104</v>
      </c>
      <c r="C136" t="s">
        <v>494</v>
      </c>
      <c r="D136" t="s">
        <v>495</v>
      </c>
      <c r="E136" t="s">
        <v>105</v>
      </c>
      <c r="F136" t="s">
        <v>470</v>
      </c>
      <c r="G136" t="s">
        <v>471</v>
      </c>
      <c r="H136">
        <v>0</v>
      </c>
      <c r="I136">
        <v>0</v>
      </c>
      <c r="J136" t="s">
        <v>106</v>
      </c>
      <c r="K136" t="s">
        <v>106</v>
      </c>
      <c r="N136" s="9">
        <v>46136</v>
      </c>
      <c r="O136">
        <v>10698</v>
      </c>
      <c r="P136">
        <v>1</v>
      </c>
      <c r="Q136">
        <v>12</v>
      </c>
      <c r="R136" t="s">
        <v>86</v>
      </c>
      <c r="S136" t="s">
        <v>87</v>
      </c>
      <c r="T136" t="s">
        <v>89</v>
      </c>
      <c r="U136" t="s">
        <v>844</v>
      </c>
      <c r="V136">
        <v>2026</v>
      </c>
      <c r="W136">
        <v>2026</v>
      </c>
      <c r="X136" t="s">
        <v>107</v>
      </c>
      <c r="Y136">
        <v>0</v>
      </c>
      <c r="Z136">
        <v>0</v>
      </c>
      <c r="AA136">
        <v>0</v>
      </c>
      <c r="AB136" t="s">
        <v>88</v>
      </c>
      <c r="AC136">
        <v>85</v>
      </c>
      <c r="AD136">
        <v>84669</v>
      </c>
      <c r="AE136" t="s">
        <v>108</v>
      </c>
      <c r="AF136">
        <v>1825.9</v>
      </c>
      <c r="AG136">
        <v>5050.3500000000004</v>
      </c>
      <c r="AH136">
        <v>0</v>
      </c>
      <c r="AI136">
        <v>150000</v>
      </c>
      <c r="AJ136">
        <v>0</v>
      </c>
      <c r="AK136">
        <v>150000</v>
      </c>
      <c r="AL136">
        <v>10000</v>
      </c>
      <c r="AM136">
        <v>10000</v>
      </c>
      <c r="AN136">
        <v>521.69000000000005</v>
      </c>
      <c r="AO136">
        <v>0</v>
      </c>
      <c r="AP136">
        <v>130.41999999999999</v>
      </c>
      <c r="AQ136">
        <v>65.209999999999994</v>
      </c>
      <c r="AR136">
        <v>65.209999999999994</v>
      </c>
      <c r="AS136" t="s">
        <v>86</v>
      </c>
      <c r="AT136" t="s">
        <v>86</v>
      </c>
      <c r="AU136">
        <v>0</v>
      </c>
      <c r="AV136">
        <v>0</v>
      </c>
    </row>
    <row r="137" spans="1:48" x14ac:dyDescent="0.3">
      <c r="A137">
        <v>4149</v>
      </c>
      <c r="B137" t="s">
        <v>104</v>
      </c>
      <c r="C137" t="s">
        <v>496</v>
      </c>
      <c r="D137" t="s">
        <v>497</v>
      </c>
      <c r="E137" t="s">
        <v>105</v>
      </c>
      <c r="F137" t="s">
        <v>470</v>
      </c>
      <c r="G137" t="s">
        <v>471</v>
      </c>
      <c r="H137">
        <v>0</v>
      </c>
      <c r="I137">
        <v>0</v>
      </c>
      <c r="J137" t="s">
        <v>106</v>
      </c>
      <c r="K137" t="s">
        <v>106</v>
      </c>
      <c r="N137" s="9">
        <v>46136</v>
      </c>
      <c r="O137">
        <v>10698</v>
      </c>
      <c r="P137">
        <v>1</v>
      </c>
      <c r="Q137">
        <v>13</v>
      </c>
      <c r="R137" t="s">
        <v>86</v>
      </c>
      <c r="S137" t="s">
        <v>87</v>
      </c>
      <c r="T137" t="s">
        <v>89</v>
      </c>
      <c r="U137" t="s">
        <v>844</v>
      </c>
      <c r="V137">
        <v>2026</v>
      </c>
      <c r="W137">
        <v>2026</v>
      </c>
      <c r="X137" t="s">
        <v>107</v>
      </c>
      <c r="Y137">
        <v>0</v>
      </c>
      <c r="Z137">
        <v>0</v>
      </c>
      <c r="AA137">
        <v>0</v>
      </c>
      <c r="AB137" t="s">
        <v>88</v>
      </c>
      <c r="AC137">
        <v>85</v>
      </c>
      <c r="AD137">
        <v>84669</v>
      </c>
      <c r="AE137" t="s">
        <v>108</v>
      </c>
      <c r="AF137">
        <v>1825.9</v>
      </c>
      <c r="AG137">
        <v>5050.3500000000004</v>
      </c>
      <c r="AH137">
        <v>0</v>
      </c>
      <c r="AI137">
        <v>150000</v>
      </c>
      <c r="AJ137">
        <v>0</v>
      </c>
      <c r="AK137">
        <v>150000</v>
      </c>
      <c r="AL137">
        <v>10000</v>
      </c>
      <c r="AM137">
        <v>10000</v>
      </c>
      <c r="AN137">
        <v>521.69000000000005</v>
      </c>
      <c r="AO137">
        <v>0</v>
      </c>
      <c r="AP137">
        <v>130.41999999999999</v>
      </c>
      <c r="AQ137">
        <v>65.209999999999994</v>
      </c>
      <c r="AR137">
        <v>65.209999999999994</v>
      </c>
      <c r="AS137" t="s">
        <v>86</v>
      </c>
      <c r="AT137" t="s">
        <v>86</v>
      </c>
      <c r="AU137">
        <v>0</v>
      </c>
      <c r="AV137">
        <v>0</v>
      </c>
    </row>
    <row r="138" spans="1:48" x14ac:dyDescent="0.3">
      <c r="A138">
        <v>4150</v>
      </c>
      <c r="B138" t="s">
        <v>104</v>
      </c>
      <c r="C138" t="s">
        <v>498</v>
      </c>
      <c r="D138" t="s">
        <v>499</v>
      </c>
      <c r="E138" t="s">
        <v>105</v>
      </c>
      <c r="F138" t="s">
        <v>470</v>
      </c>
      <c r="G138" t="s">
        <v>471</v>
      </c>
      <c r="H138">
        <v>0</v>
      </c>
      <c r="I138">
        <v>0</v>
      </c>
      <c r="J138" t="s">
        <v>106</v>
      </c>
      <c r="K138" t="s">
        <v>106</v>
      </c>
      <c r="N138" s="9">
        <v>46136</v>
      </c>
      <c r="O138">
        <v>10698</v>
      </c>
      <c r="P138">
        <v>1</v>
      </c>
      <c r="Q138">
        <v>14</v>
      </c>
      <c r="R138" t="s">
        <v>86</v>
      </c>
      <c r="S138" t="s">
        <v>87</v>
      </c>
      <c r="T138" t="s">
        <v>89</v>
      </c>
      <c r="U138" t="s">
        <v>844</v>
      </c>
      <c r="V138">
        <v>2026</v>
      </c>
      <c r="W138">
        <v>2026</v>
      </c>
      <c r="X138" t="s">
        <v>107</v>
      </c>
      <c r="Y138">
        <v>0</v>
      </c>
      <c r="Z138">
        <v>0</v>
      </c>
      <c r="AA138">
        <v>0</v>
      </c>
      <c r="AB138" t="s">
        <v>88</v>
      </c>
      <c r="AC138">
        <v>85</v>
      </c>
      <c r="AD138">
        <v>84669</v>
      </c>
      <c r="AE138" t="s">
        <v>108</v>
      </c>
      <c r="AF138">
        <v>1825.9</v>
      </c>
      <c r="AG138">
        <v>5050.3500000000004</v>
      </c>
      <c r="AH138">
        <v>0</v>
      </c>
      <c r="AI138">
        <v>150000</v>
      </c>
      <c r="AJ138">
        <v>0</v>
      </c>
      <c r="AK138">
        <v>150000</v>
      </c>
      <c r="AL138">
        <v>10000</v>
      </c>
      <c r="AM138">
        <v>10000</v>
      </c>
      <c r="AN138">
        <v>521.69000000000005</v>
      </c>
      <c r="AO138">
        <v>0</v>
      </c>
      <c r="AP138">
        <v>130.41999999999999</v>
      </c>
      <c r="AQ138">
        <v>65.209999999999994</v>
      </c>
      <c r="AR138">
        <v>65.209999999999994</v>
      </c>
      <c r="AS138" t="s">
        <v>86</v>
      </c>
      <c r="AT138" t="s">
        <v>86</v>
      </c>
      <c r="AU138">
        <v>0</v>
      </c>
      <c r="AV138">
        <v>0</v>
      </c>
    </row>
    <row r="139" spans="1:48" x14ac:dyDescent="0.3">
      <c r="A139">
        <v>4151</v>
      </c>
      <c r="B139" t="s">
        <v>104</v>
      </c>
      <c r="C139" t="s">
        <v>500</v>
      </c>
      <c r="D139" t="s">
        <v>501</v>
      </c>
      <c r="E139" t="s">
        <v>105</v>
      </c>
      <c r="F139" t="s">
        <v>470</v>
      </c>
      <c r="G139" t="s">
        <v>471</v>
      </c>
      <c r="H139">
        <v>0</v>
      </c>
      <c r="I139">
        <v>0</v>
      </c>
      <c r="J139" t="s">
        <v>106</v>
      </c>
      <c r="K139" t="s">
        <v>106</v>
      </c>
      <c r="N139" s="9">
        <v>46136</v>
      </c>
      <c r="O139">
        <v>10698</v>
      </c>
      <c r="P139">
        <v>1</v>
      </c>
      <c r="Q139">
        <v>15</v>
      </c>
      <c r="R139" t="s">
        <v>86</v>
      </c>
      <c r="S139" t="s">
        <v>87</v>
      </c>
      <c r="T139" t="s">
        <v>89</v>
      </c>
      <c r="U139" t="s">
        <v>844</v>
      </c>
      <c r="V139">
        <v>2026</v>
      </c>
      <c r="W139">
        <v>2026</v>
      </c>
      <c r="X139" t="s">
        <v>107</v>
      </c>
      <c r="Y139">
        <v>0</v>
      </c>
      <c r="Z139">
        <v>0</v>
      </c>
      <c r="AA139">
        <v>0</v>
      </c>
      <c r="AB139" t="s">
        <v>88</v>
      </c>
      <c r="AC139">
        <v>85</v>
      </c>
      <c r="AD139">
        <v>84669</v>
      </c>
      <c r="AE139" t="s">
        <v>108</v>
      </c>
      <c r="AF139">
        <v>1825.9</v>
      </c>
      <c r="AG139">
        <v>5050.3500000000004</v>
      </c>
      <c r="AH139">
        <v>0</v>
      </c>
      <c r="AI139">
        <v>150000</v>
      </c>
      <c r="AJ139">
        <v>0</v>
      </c>
      <c r="AK139">
        <v>150000</v>
      </c>
      <c r="AL139">
        <v>10000</v>
      </c>
      <c r="AM139">
        <v>10000</v>
      </c>
      <c r="AN139">
        <v>521.69000000000005</v>
      </c>
      <c r="AO139">
        <v>0</v>
      </c>
      <c r="AP139">
        <v>130.41999999999999</v>
      </c>
      <c r="AQ139">
        <v>65.209999999999994</v>
      </c>
      <c r="AR139">
        <v>65.209999999999994</v>
      </c>
      <c r="AS139" t="s">
        <v>86</v>
      </c>
      <c r="AT139" t="s">
        <v>86</v>
      </c>
      <c r="AU139">
        <v>0</v>
      </c>
      <c r="AV139">
        <v>0</v>
      </c>
    </row>
    <row r="140" spans="1:48" x14ac:dyDescent="0.3">
      <c r="A140">
        <v>4152</v>
      </c>
      <c r="B140" t="s">
        <v>104</v>
      </c>
      <c r="C140" t="s">
        <v>502</v>
      </c>
      <c r="D140" t="s">
        <v>503</v>
      </c>
      <c r="E140" t="s">
        <v>105</v>
      </c>
      <c r="F140" t="s">
        <v>470</v>
      </c>
      <c r="G140" t="s">
        <v>471</v>
      </c>
      <c r="H140">
        <v>0</v>
      </c>
      <c r="I140">
        <v>0</v>
      </c>
      <c r="J140" t="s">
        <v>106</v>
      </c>
      <c r="K140" t="s">
        <v>106</v>
      </c>
      <c r="N140" s="9">
        <v>46136</v>
      </c>
      <c r="O140">
        <v>10698</v>
      </c>
      <c r="P140">
        <v>1</v>
      </c>
      <c r="Q140">
        <v>16</v>
      </c>
      <c r="R140" t="s">
        <v>86</v>
      </c>
      <c r="S140" t="s">
        <v>87</v>
      </c>
      <c r="T140" t="s">
        <v>89</v>
      </c>
      <c r="U140" t="s">
        <v>844</v>
      </c>
      <c r="V140">
        <v>2026</v>
      </c>
      <c r="W140">
        <v>2026</v>
      </c>
      <c r="X140" t="s">
        <v>107</v>
      </c>
      <c r="Y140">
        <v>0</v>
      </c>
      <c r="Z140">
        <v>0</v>
      </c>
      <c r="AA140">
        <v>0</v>
      </c>
      <c r="AB140" t="s">
        <v>88</v>
      </c>
      <c r="AC140">
        <v>85</v>
      </c>
      <c r="AD140">
        <v>84669</v>
      </c>
      <c r="AE140" t="s">
        <v>108</v>
      </c>
      <c r="AF140">
        <v>1825.9</v>
      </c>
      <c r="AG140">
        <v>5050.3500000000004</v>
      </c>
      <c r="AH140">
        <v>0</v>
      </c>
      <c r="AI140">
        <v>150000</v>
      </c>
      <c r="AJ140">
        <v>0</v>
      </c>
      <c r="AK140">
        <v>150000</v>
      </c>
      <c r="AL140">
        <v>10000</v>
      </c>
      <c r="AM140">
        <v>10000</v>
      </c>
      <c r="AN140">
        <v>521.69000000000005</v>
      </c>
      <c r="AO140">
        <v>0</v>
      </c>
      <c r="AP140">
        <v>130.41999999999999</v>
      </c>
      <c r="AQ140">
        <v>65.209999999999994</v>
      </c>
      <c r="AR140">
        <v>65.209999999999994</v>
      </c>
      <c r="AS140" t="s">
        <v>86</v>
      </c>
      <c r="AT140" t="s">
        <v>86</v>
      </c>
      <c r="AU140">
        <v>0</v>
      </c>
      <c r="AV140">
        <v>0</v>
      </c>
    </row>
    <row r="141" spans="1:48" x14ac:dyDescent="0.3">
      <c r="A141">
        <v>4153</v>
      </c>
      <c r="B141" t="s">
        <v>104</v>
      </c>
      <c r="C141" t="s">
        <v>504</v>
      </c>
      <c r="D141" t="s">
        <v>505</v>
      </c>
      <c r="E141" t="s">
        <v>105</v>
      </c>
      <c r="F141" t="s">
        <v>470</v>
      </c>
      <c r="G141" t="s">
        <v>471</v>
      </c>
      <c r="H141">
        <v>0</v>
      </c>
      <c r="I141">
        <v>0</v>
      </c>
      <c r="J141" t="s">
        <v>106</v>
      </c>
      <c r="K141" t="s">
        <v>106</v>
      </c>
      <c r="N141" s="9">
        <v>46136</v>
      </c>
      <c r="O141">
        <v>10698</v>
      </c>
      <c r="P141">
        <v>1</v>
      </c>
      <c r="Q141">
        <v>17</v>
      </c>
      <c r="R141" t="s">
        <v>86</v>
      </c>
      <c r="S141" t="s">
        <v>87</v>
      </c>
      <c r="T141" t="s">
        <v>89</v>
      </c>
      <c r="U141" t="s">
        <v>844</v>
      </c>
      <c r="V141">
        <v>2026</v>
      </c>
      <c r="W141">
        <v>2026</v>
      </c>
      <c r="X141" t="s">
        <v>107</v>
      </c>
      <c r="Y141">
        <v>0</v>
      </c>
      <c r="Z141">
        <v>0</v>
      </c>
      <c r="AA141">
        <v>0</v>
      </c>
      <c r="AB141" t="s">
        <v>88</v>
      </c>
      <c r="AC141">
        <v>85</v>
      </c>
      <c r="AD141">
        <v>84669</v>
      </c>
      <c r="AE141" t="s">
        <v>108</v>
      </c>
      <c r="AF141">
        <v>1825.9</v>
      </c>
      <c r="AG141">
        <v>5050.3500000000004</v>
      </c>
      <c r="AH141">
        <v>0</v>
      </c>
      <c r="AI141">
        <v>150000</v>
      </c>
      <c r="AJ141">
        <v>0</v>
      </c>
      <c r="AK141">
        <v>150000</v>
      </c>
      <c r="AL141">
        <v>10000</v>
      </c>
      <c r="AM141">
        <v>10000</v>
      </c>
      <c r="AN141">
        <v>521.69000000000005</v>
      </c>
      <c r="AO141">
        <v>0</v>
      </c>
      <c r="AP141">
        <v>130.41999999999999</v>
      </c>
      <c r="AQ141">
        <v>65.209999999999994</v>
      </c>
      <c r="AR141">
        <v>65.209999999999994</v>
      </c>
      <c r="AS141" t="s">
        <v>86</v>
      </c>
      <c r="AT141" t="s">
        <v>86</v>
      </c>
      <c r="AU141">
        <v>0</v>
      </c>
      <c r="AV141">
        <v>0</v>
      </c>
    </row>
    <row r="142" spans="1:48" x14ac:dyDescent="0.3">
      <c r="A142">
        <v>4154</v>
      </c>
      <c r="B142" t="s">
        <v>104</v>
      </c>
      <c r="C142" t="s">
        <v>506</v>
      </c>
      <c r="D142" t="s">
        <v>507</v>
      </c>
      <c r="E142" t="s">
        <v>105</v>
      </c>
      <c r="F142" t="s">
        <v>470</v>
      </c>
      <c r="G142" t="s">
        <v>471</v>
      </c>
      <c r="H142">
        <v>0</v>
      </c>
      <c r="I142">
        <v>0</v>
      </c>
      <c r="J142" t="s">
        <v>106</v>
      </c>
      <c r="K142" t="s">
        <v>106</v>
      </c>
      <c r="N142" s="9">
        <v>46136</v>
      </c>
      <c r="O142">
        <v>10698</v>
      </c>
      <c r="P142">
        <v>1</v>
      </c>
      <c r="Q142">
        <v>18</v>
      </c>
      <c r="R142" t="s">
        <v>86</v>
      </c>
      <c r="S142" t="s">
        <v>87</v>
      </c>
      <c r="T142" t="s">
        <v>89</v>
      </c>
      <c r="U142" t="s">
        <v>844</v>
      </c>
      <c r="V142">
        <v>2026</v>
      </c>
      <c r="W142">
        <v>2026</v>
      </c>
      <c r="X142" t="s">
        <v>107</v>
      </c>
      <c r="Y142">
        <v>0</v>
      </c>
      <c r="Z142">
        <v>0</v>
      </c>
      <c r="AA142">
        <v>0</v>
      </c>
      <c r="AB142" t="s">
        <v>88</v>
      </c>
      <c r="AC142">
        <v>85</v>
      </c>
      <c r="AD142">
        <v>84669</v>
      </c>
      <c r="AE142" t="s">
        <v>108</v>
      </c>
      <c r="AF142">
        <v>1825.9</v>
      </c>
      <c r="AG142">
        <v>5050.3500000000004</v>
      </c>
      <c r="AH142">
        <v>0</v>
      </c>
      <c r="AI142">
        <v>150000</v>
      </c>
      <c r="AJ142">
        <v>0</v>
      </c>
      <c r="AK142">
        <v>150000</v>
      </c>
      <c r="AL142">
        <v>10000</v>
      </c>
      <c r="AM142">
        <v>10000</v>
      </c>
      <c r="AN142">
        <v>521.69000000000005</v>
      </c>
      <c r="AO142">
        <v>0</v>
      </c>
      <c r="AP142">
        <v>130.41999999999999</v>
      </c>
      <c r="AQ142">
        <v>65.209999999999994</v>
      </c>
      <c r="AR142">
        <v>65.209999999999994</v>
      </c>
      <c r="AS142" t="s">
        <v>86</v>
      </c>
      <c r="AT142" t="s">
        <v>86</v>
      </c>
      <c r="AU142">
        <v>0</v>
      </c>
      <c r="AV142">
        <v>0</v>
      </c>
    </row>
    <row r="143" spans="1:48" x14ac:dyDescent="0.3">
      <c r="A143">
        <v>4155</v>
      </c>
      <c r="B143" t="s">
        <v>104</v>
      </c>
      <c r="C143" t="s">
        <v>508</v>
      </c>
      <c r="D143" t="s">
        <v>509</v>
      </c>
      <c r="E143" t="s">
        <v>105</v>
      </c>
      <c r="F143" t="s">
        <v>470</v>
      </c>
      <c r="G143" t="s">
        <v>471</v>
      </c>
      <c r="H143">
        <v>0</v>
      </c>
      <c r="I143">
        <v>0</v>
      </c>
      <c r="J143" t="s">
        <v>106</v>
      </c>
      <c r="K143" t="s">
        <v>106</v>
      </c>
      <c r="N143" s="9">
        <v>46136</v>
      </c>
      <c r="O143">
        <v>10698</v>
      </c>
      <c r="P143">
        <v>1</v>
      </c>
      <c r="Q143">
        <v>19</v>
      </c>
      <c r="R143" t="s">
        <v>86</v>
      </c>
      <c r="S143" t="s">
        <v>87</v>
      </c>
      <c r="T143" t="s">
        <v>89</v>
      </c>
      <c r="U143" t="s">
        <v>844</v>
      </c>
      <c r="V143">
        <v>2026</v>
      </c>
      <c r="W143">
        <v>2026</v>
      </c>
      <c r="X143" t="s">
        <v>107</v>
      </c>
      <c r="Y143">
        <v>0</v>
      </c>
      <c r="Z143">
        <v>0</v>
      </c>
      <c r="AA143">
        <v>0</v>
      </c>
      <c r="AB143" t="s">
        <v>88</v>
      </c>
      <c r="AC143">
        <v>85</v>
      </c>
      <c r="AD143">
        <v>84669</v>
      </c>
      <c r="AE143" t="s">
        <v>108</v>
      </c>
      <c r="AF143">
        <v>1825.9</v>
      </c>
      <c r="AG143">
        <v>5050.3500000000004</v>
      </c>
      <c r="AH143">
        <v>0</v>
      </c>
      <c r="AI143">
        <v>150000</v>
      </c>
      <c r="AJ143">
        <v>0</v>
      </c>
      <c r="AK143">
        <v>150000</v>
      </c>
      <c r="AL143">
        <v>10000</v>
      </c>
      <c r="AM143">
        <v>10000</v>
      </c>
      <c r="AN143">
        <v>521.69000000000005</v>
      </c>
      <c r="AO143">
        <v>0</v>
      </c>
      <c r="AP143">
        <v>130.41999999999999</v>
      </c>
      <c r="AQ143">
        <v>65.209999999999994</v>
      </c>
      <c r="AR143">
        <v>65.209999999999994</v>
      </c>
      <c r="AS143" t="s">
        <v>86</v>
      </c>
      <c r="AT143" t="s">
        <v>86</v>
      </c>
      <c r="AU143">
        <v>0</v>
      </c>
      <c r="AV143">
        <v>0</v>
      </c>
    </row>
    <row r="144" spans="1:48" x14ac:dyDescent="0.3">
      <c r="A144">
        <v>4156</v>
      </c>
      <c r="B144" t="s">
        <v>104</v>
      </c>
      <c r="C144" t="s">
        <v>510</v>
      </c>
      <c r="D144" t="s">
        <v>511</v>
      </c>
      <c r="E144" t="s">
        <v>105</v>
      </c>
      <c r="F144" t="s">
        <v>470</v>
      </c>
      <c r="G144" t="s">
        <v>471</v>
      </c>
      <c r="H144">
        <v>0</v>
      </c>
      <c r="I144">
        <v>0</v>
      </c>
      <c r="J144" t="s">
        <v>106</v>
      </c>
      <c r="K144" t="s">
        <v>106</v>
      </c>
      <c r="N144" s="9">
        <v>46136</v>
      </c>
      <c r="O144">
        <v>10698</v>
      </c>
      <c r="P144">
        <v>1</v>
      </c>
      <c r="Q144">
        <v>20</v>
      </c>
      <c r="R144" t="s">
        <v>86</v>
      </c>
      <c r="S144" t="s">
        <v>87</v>
      </c>
      <c r="T144" t="s">
        <v>89</v>
      </c>
      <c r="U144" t="s">
        <v>844</v>
      </c>
      <c r="V144">
        <v>2026</v>
      </c>
      <c r="W144">
        <v>2026</v>
      </c>
      <c r="X144" t="s">
        <v>107</v>
      </c>
      <c r="Y144">
        <v>0</v>
      </c>
      <c r="Z144">
        <v>0</v>
      </c>
      <c r="AA144">
        <v>0</v>
      </c>
      <c r="AB144" t="s">
        <v>88</v>
      </c>
      <c r="AC144">
        <v>85</v>
      </c>
      <c r="AD144">
        <v>84669</v>
      </c>
      <c r="AE144" t="s">
        <v>108</v>
      </c>
      <c r="AF144">
        <v>1825.9</v>
      </c>
      <c r="AG144">
        <v>5050.3500000000004</v>
      </c>
      <c r="AH144">
        <v>0</v>
      </c>
      <c r="AI144">
        <v>150000</v>
      </c>
      <c r="AJ144">
        <v>0</v>
      </c>
      <c r="AK144">
        <v>150000</v>
      </c>
      <c r="AL144">
        <v>10000</v>
      </c>
      <c r="AM144">
        <v>10000</v>
      </c>
      <c r="AN144">
        <v>521.69000000000005</v>
      </c>
      <c r="AO144">
        <v>0</v>
      </c>
      <c r="AP144">
        <v>130.41999999999999</v>
      </c>
      <c r="AQ144">
        <v>65.209999999999994</v>
      </c>
      <c r="AR144">
        <v>65.209999999999994</v>
      </c>
      <c r="AS144" t="s">
        <v>86</v>
      </c>
      <c r="AT144" t="s">
        <v>86</v>
      </c>
      <c r="AU144">
        <v>0</v>
      </c>
      <c r="AV144">
        <v>0</v>
      </c>
    </row>
    <row r="145" spans="1:48" x14ac:dyDescent="0.3">
      <c r="A145">
        <v>4157</v>
      </c>
      <c r="B145" t="s">
        <v>104</v>
      </c>
      <c r="C145" t="s">
        <v>512</v>
      </c>
      <c r="D145" t="s">
        <v>513</v>
      </c>
      <c r="E145" t="s">
        <v>105</v>
      </c>
      <c r="F145" t="s">
        <v>470</v>
      </c>
      <c r="G145" t="s">
        <v>471</v>
      </c>
      <c r="H145">
        <v>0</v>
      </c>
      <c r="I145">
        <v>0</v>
      </c>
      <c r="J145" t="s">
        <v>106</v>
      </c>
      <c r="K145" t="s">
        <v>106</v>
      </c>
      <c r="N145" s="9">
        <v>46136</v>
      </c>
      <c r="O145">
        <v>10698</v>
      </c>
      <c r="P145">
        <v>1</v>
      </c>
      <c r="Q145">
        <v>21</v>
      </c>
      <c r="R145" t="s">
        <v>86</v>
      </c>
      <c r="S145" t="s">
        <v>87</v>
      </c>
      <c r="T145" t="s">
        <v>89</v>
      </c>
      <c r="U145" t="s">
        <v>844</v>
      </c>
      <c r="V145">
        <v>2026</v>
      </c>
      <c r="W145">
        <v>2026</v>
      </c>
      <c r="X145" t="s">
        <v>107</v>
      </c>
      <c r="Y145">
        <v>0</v>
      </c>
      <c r="Z145">
        <v>0</v>
      </c>
      <c r="AA145">
        <v>0</v>
      </c>
      <c r="AB145" t="s">
        <v>88</v>
      </c>
      <c r="AC145">
        <v>85</v>
      </c>
      <c r="AD145">
        <v>84669</v>
      </c>
      <c r="AE145" t="s">
        <v>108</v>
      </c>
      <c r="AF145">
        <v>1825.9</v>
      </c>
      <c r="AG145">
        <v>5050.3500000000004</v>
      </c>
      <c r="AH145">
        <v>0</v>
      </c>
      <c r="AI145">
        <v>150000</v>
      </c>
      <c r="AJ145">
        <v>0</v>
      </c>
      <c r="AK145">
        <v>150000</v>
      </c>
      <c r="AL145">
        <v>10000</v>
      </c>
      <c r="AM145">
        <v>10000</v>
      </c>
      <c r="AN145">
        <v>521.69000000000005</v>
      </c>
      <c r="AO145">
        <v>0</v>
      </c>
      <c r="AP145">
        <v>130.41999999999999</v>
      </c>
      <c r="AQ145">
        <v>65.209999999999994</v>
      </c>
      <c r="AR145">
        <v>65.209999999999994</v>
      </c>
      <c r="AS145" t="s">
        <v>86</v>
      </c>
      <c r="AT145" t="s">
        <v>86</v>
      </c>
      <c r="AU145">
        <v>0</v>
      </c>
      <c r="AV145">
        <v>0</v>
      </c>
    </row>
    <row r="146" spans="1:48" x14ac:dyDescent="0.3">
      <c r="A146">
        <v>4158</v>
      </c>
      <c r="B146" t="s">
        <v>104</v>
      </c>
      <c r="C146" t="s">
        <v>514</v>
      </c>
      <c r="D146" t="s">
        <v>515</v>
      </c>
      <c r="E146" t="s">
        <v>105</v>
      </c>
      <c r="F146" t="s">
        <v>470</v>
      </c>
      <c r="G146" t="s">
        <v>471</v>
      </c>
      <c r="H146">
        <v>0</v>
      </c>
      <c r="I146">
        <v>0</v>
      </c>
      <c r="J146" t="s">
        <v>106</v>
      </c>
      <c r="K146" t="s">
        <v>106</v>
      </c>
      <c r="N146" s="9">
        <v>46136</v>
      </c>
      <c r="O146">
        <v>10698</v>
      </c>
      <c r="P146">
        <v>1</v>
      </c>
      <c r="Q146">
        <v>22</v>
      </c>
      <c r="R146" t="s">
        <v>86</v>
      </c>
      <c r="S146" t="s">
        <v>87</v>
      </c>
      <c r="T146" t="s">
        <v>89</v>
      </c>
      <c r="U146" t="s">
        <v>844</v>
      </c>
      <c r="V146">
        <v>2026</v>
      </c>
      <c r="W146">
        <v>2026</v>
      </c>
      <c r="X146" t="s">
        <v>107</v>
      </c>
      <c r="Y146">
        <v>0</v>
      </c>
      <c r="Z146">
        <v>0</v>
      </c>
      <c r="AA146">
        <v>0</v>
      </c>
      <c r="AB146" t="s">
        <v>88</v>
      </c>
      <c r="AC146">
        <v>85</v>
      </c>
      <c r="AD146">
        <v>84669</v>
      </c>
      <c r="AE146" t="s">
        <v>108</v>
      </c>
      <c r="AF146">
        <v>1825.9</v>
      </c>
      <c r="AG146">
        <v>5050.3500000000004</v>
      </c>
      <c r="AH146">
        <v>0</v>
      </c>
      <c r="AI146">
        <v>150000</v>
      </c>
      <c r="AJ146">
        <v>0</v>
      </c>
      <c r="AK146">
        <v>150000</v>
      </c>
      <c r="AL146">
        <v>10000</v>
      </c>
      <c r="AM146">
        <v>10000</v>
      </c>
      <c r="AN146">
        <v>521.69000000000005</v>
      </c>
      <c r="AO146">
        <v>0</v>
      </c>
      <c r="AP146">
        <v>130.41999999999999</v>
      </c>
      <c r="AQ146">
        <v>65.209999999999994</v>
      </c>
      <c r="AR146">
        <v>65.209999999999994</v>
      </c>
      <c r="AS146" t="s">
        <v>86</v>
      </c>
      <c r="AT146" t="s">
        <v>86</v>
      </c>
      <c r="AU146">
        <v>0</v>
      </c>
      <c r="AV146">
        <v>0</v>
      </c>
    </row>
    <row r="147" spans="1:48" x14ac:dyDescent="0.3">
      <c r="A147">
        <v>4159</v>
      </c>
      <c r="B147" t="s">
        <v>104</v>
      </c>
      <c r="C147" t="s">
        <v>516</v>
      </c>
      <c r="D147" t="s">
        <v>517</v>
      </c>
      <c r="E147" t="s">
        <v>105</v>
      </c>
      <c r="F147" t="s">
        <v>470</v>
      </c>
      <c r="G147" t="s">
        <v>471</v>
      </c>
      <c r="H147">
        <v>0</v>
      </c>
      <c r="I147">
        <v>0</v>
      </c>
      <c r="J147" t="s">
        <v>106</v>
      </c>
      <c r="K147" t="s">
        <v>106</v>
      </c>
      <c r="N147" s="9">
        <v>46136</v>
      </c>
      <c r="O147">
        <v>10698</v>
      </c>
      <c r="P147">
        <v>1</v>
      </c>
      <c r="Q147">
        <v>23</v>
      </c>
      <c r="R147" t="s">
        <v>86</v>
      </c>
      <c r="S147" t="s">
        <v>87</v>
      </c>
      <c r="T147" t="s">
        <v>89</v>
      </c>
      <c r="U147" t="s">
        <v>844</v>
      </c>
      <c r="V147">
        <v>2026</v>
      </c>
      <c r="W147">
        <v>2026</v>
      </c>
      <c r="X147" t="s">
        <v>107</v>
      </c>
      <c r="Y147">
        <v>0</v>
      </c>
      <c r="Z147">
        <v>0</v>
      </c>
      <c r="AA147">
        <v>0</v>
      </c>
      <c r="AB147" t="s">
        <v>88</v>
      </c>
      <c r="AC147">
        <v>85</v>
      </c>
      <c r="AD147">
        <v>84669</v>
      </c>
      <c r="AE147" t="s">
        <v>108</v>
      </c>
      <c r="AF147">
        <v>1825.9</v>
      </c>
      <c r="AG147">
        <v>5050.3500000000004</v>
      </c>
      <c r="AH147">
        <v>0</v>
      </c>
      <c r="AI147">
        <v>150000</v>
      </c>
      <c r="AJ147">
        <v>0</v>
      </c>
      <c r="AK147">
        <v>150000</v>
      </c>
      <c r="AL147">
        <v>10000</v>
      </c>
      <c r="AM147">
        <v>10000</v>
      </c>
      <c r="AN147">
        <v>521.69000000000005</v>
      </c>
      <c r="AO147">
        <v>0</v>
      </c>
      <c r="AP147">
        <v>130.41999999999999</v>
      </c>
      <c r="AQ147">
        <v>65.209999999999994</v>
      </c>
      <c r="AR147">
        <v>65.209999999999994</v>
      </c>
      <c r="AS147" t="s">
        <v>86</v>
      </c>
      <c r="AT147" t="s">
        <v>86</v>
      </c>
      <c r="AU147">
        <v>0</v>
      </c>
      <c r="AV147">
        <v>0</v>
      </c>
    </row>
    <row r="148" spans="1:48" x14ac:dyDescent="0.3">
      <c r="A148">
        <v>4160</v>
      </c>
      <c r="B148" t="s">
        <v>104</v>
      </c>
      <c r="C148" t="s">
        <v>518</v>
      </c>
      <c r="D148" t="s">
        <v>519</v>
      </c>
      <c r="E148" t="s">
        <v>105</v>
      </c>
      <c r="F148" t="s">
        <v>470</v>
      </c>
      <c r="G148" t="s">
        <v>471</v>
      </c>
      <c r="H148">
        <v>0</v>
      </c>
      <c r="I148">
        <v>0</v>
      </c>
      <c r="J148" t="s">
        <v>106</v>
      </c>
      <c r="K148" t="s">
        <v>106</v>
      </c>
      <c r="N148" s="9">
        <v>46136</v>
      </c>
      <c r="O148">
        <v>10698</v>
      </c>
      <c r="P148">
        <v>1</v>
      </c>
      <c r="Q148">
        <v>24</v>
      </c>
      <c r="R148" t="s">
        <v>86</v>
      </c>
      <c r="S148" t="s">
        <v>87</v>
      </c>
      <c r="T148" t="s">
        <v>89</v>
      </c>
      <c r="U148" t="s">
        <v>844</v>
      </c>
      <c r="V148">
        <v>2026</v>
      </c>
      <c r="W148">
        <v>2026</v>
      </c>
      <c r="X148" t="s">
        <v>107</v>
      </c>
      <c r="Y148">
        <v>0</v>
      </c>
      <c r="Z148">
        <v>0</v>
      </c>
      <c r="AA148">
        <v>0</v>
      </c>
      <c r="AB148" t="s">
        <v>88</v>
      </c>
      <c r="AC148">
        <v>85</v>
      </c>
      <c r="AD148">
        <v>84669</v>
      </c>
      <c r="AE148" t="s">
        <v>108</v>
      </c>
      <c r="AF148">
        <v>1825.9</v>
      </c>
      <c r="AG148">
        <v>5050.3500000000004</v>
      </c>
      <c r="AH148">
        <v>0</v>
      </c>
      <c r="AI148">
        <v>150000</v>
      </c>
      <c r="AJ148">
        <v>0</v>
      </c>
      <c r="AK148">
        <v>150000</v>
      </c>
      <c r="AL148">
        <v>10000</v>
      </c>
      <c r="AM148">
        <v>10000</v>
      </c>
      <c r="AN148">
        <v>521.69000000000005</v>
      </c>
      <c r="AO148">
        <v>0</v>
      </c>
      <c r="AP148">
        <v>130.41999999999999</v>
      </c>
      <c r="AQ148">
        <v>65.209999999999994</v>
      </c>
      <c r="AR148">
        <v>65.209999999999994</v>
      </c>
      <c r="AS148" t="s">
        <v>86</v>
      </c>
      <c r="AT148" t="s">
        <v>86</v>
      </c>
      <c r="AU148">
        <v>0</v>
      </c>
      <c r="AV148">
        <v>0</v>
      </c>
    </row>
    <row r="149" spans="1:48" x14ac:dyDescent="0.3">
      <c r="A149">
        <v>4161</v>
      </c>
      <c r="B149" t="s">
        <v>104</v>
      </c>
      <c r="C149" t="s">
        <v>520</v>
      </c>
      <c r="D149" t="s">
        <v>521</v>
      </c>
      <c r="E149" t="s">
        <v>105</v>
      </c>
      <c r="F149" t="s">
        <v>470</v>
      </c>
      <c r="G149" t="s">
        <v>471</v>
      </c>
      <c r="H149">
        <v>0</v>
      </c>
      <c r="I149">
        <v>0</v>
      </c>
      <c r="J149" t="s">
        <v>106</v>
      </c>
      <c r="K149" t="s">
        <v>106</v>
      </c>
      <c r="N149" s="9">
        <v>46136</v>
      </c>
      <c r="O149">
        <v>10698</v>
      </c>
      <c r="P149">
        <v>1</v>
      </c>
      <c r="Q149">
        <v>25</v>
      </c>
      <c r="R149" t="s">
        <v>86</v>
      </c>
      <c r="S149" t="s">
        <v>87</v>
      </c>
      <c r="T149" t="s">
        <v>89</v>
      </c>
      <c r="U149" t="s">
        <v>844</v>
      </c>
      <c r="V149">
        <v>2026</v>
      </c>
      <c r="W149">
        <v>2026</v>
      </c>
      <c r="X149" t="s">
        <v>107</v>
      </c>
      <c r="Y149">
        <v>0</v>
      </c>
      <c r="Z149">
        <v>0</v>
      </c>
      <c r="AA149">
        <v>0</v>
      </c>
      <c r="AB149" t="s">
        <v>88</v>
      </c>
      <c r="AC149">
        <v>85</v>
      </c>
      <c r="AD149">
        <v>84669</v>
      </c>
      <c r="AE149" t="s">
        <v>108</v>
      </c>
      <c r="AF149">
        <v>1825.9</v>
      </c>
      <c r="AG149">
        <v>5050.3500000000004</v>
      </c>
      <c r="AH149">
        <v>0</v>
      </c>
      <c r="AI149">
        <v>150000</v>
      </c>
      <c r="AJ149">
        <v>0</v>
      </c>
      <c r="AK149">
        <v>150000</v>
      </c>
      <c r="AL149">
        <v>10000</v>
      </c>
      <c r="AM149">
        <v>10000</v>
      </c>
      <c r="AN149">
        <v>521.69000000000005</v>
      </c>
      <c r="AO149">
        <v>0</v>
      </c>
      <c r="AP149">
        <v>130.41999999999999</v>
      </c>
      <c r="AQ149">
        <v>65.209999999999994</v>
      </c>
      <c r="AR149">
        <v>65.209999999999994</v>
      </c>
      <c r="AS149" t="s">
        <v>86</v>
      </c>
      <c r="AT149" t="s">
        <v>86</v>
      </c>
      <c r="AU149">
        <v>0</v>
      </c>
      <c r="AV149">
        <v>0</v>
      </c>
    </row>
    <row r="150" spans="1:48" x14ac:dyDescent="0.3">
      <c r="A150">
        <v>4162</v>
      </c>
      <c r="B150" t="s">
        <v>104</v>
      </c>
      <c r="C150" t="s">
        <v>522</v>
      </c>
      <c r="D150" t="s">
        <v>523</v>
      </c>
      <c r="E150" t="s">
        <v>105</v>
      </c>
      <c r="F150" t="s">
        <v>470</v>
      </c>
      <c r="G150" t="s">
        <v>471</v>
      </c>
      <c r="H150">
        <v>0</v>
      </c>
      <c r="I150">
        <v>0</v>
      </c>
      <c r="J150" t="s">
        <v>106</v>
      </c>
      <c r="K150" t="s">
        <v>106</v>
      </c>
      <c r="N150" s="9">
        <v>46136</v>
      </c>
      <c r="O150">
        <v>10698</v>
      </c>
      <c r="P150">
        <v>1</v>
      </c>
      <c r="Q150">
        <v>26</v>
      </c>
      <c r="R150" t="s">
        <v>86</v>
      </c>
      <c r="S150" t="s">
        <v>87</v>
      </c>
      <c r="T150" t="s">
        <v>89</v>
      </c>
      <c r="U150" t="s">
        <v>844</v>
      </c>
      <c r="V150">
        <v>2026</v>
      </c>
      <c r="W150">
        <v>2026</v>
      </c>
      <c r="X150" t="s">
        <v>107</v>
      </c>
      <c r="Y150">
        <v>0</v>
      </c>
      <c r="Z150">
        <v>0</v>
      </c>
      <c r="AA150">
        <v>0</v>
      </c>
      <c r="AB150" t="s">
        <v>88</v>
      </c>
      <c r="AC150">
        <v>85</v>
      </c>
      <c r="AD150">
        <v>84669</v>
      </c>
      <c r="AE150" t="s">
        <v>108</v>
      </c>
      <c r="AF150">
        <v>1825.9</v>
      </c>
      <c r="AG150">
        <v>5050.3500000000004</v>
      </c>
      <c r="AH150">
        <v>0</v>
      </c>
      <c r="AI150">
        <v>150000</v>
      </c>
      <c r="AJ150">
        <v>0</v>
      </c>
      <c r="AK150">
        <v>150000</v>
      </c>
      <c r="AL150">
        <v>10000</v>
      </c>
      <c r="AM150">
        <v>10000</v>
      </c>
      <c r="AN150">
        <v>521.69000000000005</v>
      </c>
      <c r="AO150">
        <v>0</v>
      </c>
      <c r="AP150">
        <v>130.41999999999999</v>
      </c>
      <c r="AQ150">
        <v>65.209999999999994</v>
      </c>
      <c r="AR150">
        <v>65.209999999999994</v>
      </c>
      <c r="AS150" t="s">
        <v>86</v>
      </c>
      <c r="AT150" t="s">
        <v>86</v>
      </c>
      <c r="AU150">
        <v>0</v>
      </c>
      <c r="AV150">
        <v>0</v>
      </c>
    </row>
    <row r="151" spans="1:48" x14ac:dyDescent="0.3">
      <c r="A151">
        <v>4163</v>
      </c>
      <c r="B151" t="s">
        <v>104</v>
      </c>
      <c r="C151" t="s">
        <v>524</v>
      </c>
      <c r="D151" t="s">
        <v>525</v>
      </c>
      <c r="E151" t="s">
        <v>105</v>
      </c>
      <c r="F151" t="s">
        <v>470</v>
      </c>
      <c r="G151" t="s">
        <v>471</v>
      </c>
      <c r="H151">
        <v>0</v>
      </c>
      <c r="I151">
        <v>0</v>
      </c>
      <c r="J151" t="s">
        <v>106</v>
      </c>
      <c r="K151" t="s">
        <v>106</v>
      </c>
      <c r="N151" s="9">
        <v>46136</v>
      </c>
      <c r="O151">
        <v>10698</v>
      </c>
      <c r="P151">
        <v>1</v>
      </c>
      <c r="Q151">
        <v>27</v>
      </c>
      <c r="R151" t="s">
        <v>86</v>
      </c>
      <c r="S151" t="s">
        <v>87</v>
      </c>
      <c r="T151" t="s">
        <v>89</v>
      </c>
      <c r="U151" t="s">
        <v>844</v>
      </c>
      <c r="V151">
        <v>2026</v>
      </c>
      <c r="W151">
        <v>2026</v>
      </c>
      <c r="X151" t="s">
        <v>107</v>
      </c>
      <c r="Y151">
        <v>0</v>
      </c>
      <c r="Z151">
        <v>0</v>
      </c>
      <c r="AA151">
        <v>0</v>
      </c>
      <c r="AB151" t="s">
        <v>88</v>
      </c>
      <c r="AC151">
        <v>85</v>
      </c>
      <c r="AD151">
        <v>84669</v>
      </c>
      <c r="AE151" t="s">
        <v>108</v>
      </c>
      <c r="AF151">
        <v>1825.9</v>
      </c>
      <c r="AG151">
        <v>5050.3500000000004</v>
      </c>
      <c r="AH151">
        <v>0</v>
      </c>
      <c r="AI151">
        <v>150000</v>
      </c>
      <c r="AJ151">
        <v>0</v>
      </c>
      <c r="AK151">
        <v>150000</v>
      </c>
      <c r="AL151">
        <v>10000</v>
      </c>
      <c r="AM151">
        <v>10000</v>
      </c>
      <c r="AN151">
        <v>521.69000000000005</v>
      </c>
      <c r="AO151">
        <v>0</v>
      </c>
      <c r="AP151">
        <v>130.41999999999999</v>
      </c>
      <c r="AQ151">
        <v>65.209999999999994</v>
      </c>
      <c r="AR151">
        <v>65.209999999999994</v>
      </c>
      <c r="AS151" t="s">
        <v>86</v>
      </c>
      <c r="AT151" t="s">
        <v>86</v>
      </c>
      <c r="AU151">
        <v>0</v>
      </c>
      <c r="AV151">
        <v>0</v>
      </c>
    </row>
    <row r="152" spans="1:48" x14ac:dyDescent="0.3">
      <c r="A152">
        <v>4164</v>
      </c>
      <c r="B152" t="s">
        <v>104</v>
      </c>
      <c r="C152" t="s">
        <v>526</v>
      </c>
      <c r="D152" t="s">
        <v>527</v>
      </c>
      <c r="E152" t="s">
        <v>105</v>
      </c>
      <c r="F152" t="s">
        <v>470</v>
      </c>
      <c r="G152" t="s">
        <v>471</v>
      </c>
      <c r="H152">
        <v>0</v>
      </c>
      <c r="I152">
        <v>0</v>
      </c>
      <c r="J152" t="s">
        <v>106</v>
      </c>
      <c r="K152" t="s">
        <v>106</v>
      </c>
      <c r="N152" s="9">
        <v>46136</v>
      </c>
      <c r="O152">
        <v>10698</v>
      </c>
      <c r="P152">
        <v>1</v>
      </c>
      <c r="Q152">
        <v>28</v>
      </c>
      <c r="R152" t="s">
        <v>86</v>
      </c>
      <c r="S152" t="s">
        <v>87</v>
      </c>
      <c r="T152" t="s">
        <v>89</v>
      </c>
      <c r="U152" t="s">
        <v>844</v>
      </c>
      <c r="V152">
        <v>2026</v>
      </c>
      <c r="W152">
        <v>2026</v>
      </c>
      <c r="X152" t="s">
        <v>107</v>
      </c>
      <c r="Y152">
        <v>0</v>
      </c>
      <c r="Z152">
        <v>0</v>
      </c>
      <c r="AA152">
        <v>0</v>
      </c>
      <c r="AB152" t="s">
        <v>88</v>
      </c>
      <c r="AC152">
        <v>85</v>
      </c>
      <c r="AD152">
        <v>84669</v>
      </c>
      <c r="AE152" t="s">
        <v>108</v>
      </c>
      <c r="AF152">
        <v>1825.9</v>
      </c>
      <c r="AG152">
        <v>5050.3500000000004</v>
      </c>
      <c r="AH152">
        <v>0</v>
      </c>
      <c r="AI152">
        <v>150000</v>
      </c>
      <c r="AJ152">
        <v>0</v>
      </c>
      <c r="AK152">
        <v>150000</v>
      </c>
      <c r="AL152">
        <v>10000</v>
      </c>
      <c r="AM152">
        <v>10000</v>
      </c>
      <c r="AN152">
        <v>521.69000000000005</v>
      </c>
      <c r="AO152">
        <v>0</v>
      </c>
      <c r="AP152">
        <v>130.41999999999999</v>
      </c>
      <c r="AQ152">
        <v>65.209999999999994</v>
      </c>
      <c r="AR152">
        <v>65.209999999999994</v>
      </c>
      <c r="AS152" t="s">
        <v>86</v>
      </c>
      <c r="AT152" t="s">
        <v>86</v>
      </c>
      <c r="AU152">
        <v>0</v>
      </c>
      <c r="AV152">
        <v>0</v>
      </c>
    </row>
    <row r="153" spans="1:48" x14ac:dyDescent="0.3">
      <c r="A153">
        <v>4165</v>
      </c>
      <c r="B153" t="s">
        <v>104</v>
      </c>
      <c r="C153" t="s">
        <v>528</v>
      </c>
      <c r="D153" t="s">
        <v>529</v>
      </c>
      <c r="E153" t="s">
        <v>105</v>
      </c>
      <c r="F153" t="s">
        <v>470</v>
      </c>
      <c r="G153" t="s">
        <v>471</v>
      </c>
      <c r="H153">
        <v>0</v>
      </c>
      <c r="I153">
        <v>0</v>
      </c>
      <c r="J153" t="s">
        <v>106</v>
      </c>
      <c r="K153" t="s">
        <v>106</v>
      </c>
      <c r="N153" s="9">
        <v>46136</v>
      </c>
      <c r="O153">
        <v>10698</v>
      </c>
      <c r="P153">
        <v>1</v>
      </c>
      <c r="Q153">
        <v>29</v>
      </c>
      <c r="R153" t="s">
        <v>86</v>
      </c>
      <c r="S153" t="s">
        <v>87</v>
      </c>
      <c r="T153" t="s">
        <v>89</v>
      </c>
      <c r="U153" t="s">
        <v>844</v>
      </c>
      <c r="V153">
        <v>2026</v>
      </c>
      <c r="W153">
        <v>2026</v>
      </c>
      <c r="X153" t="s">
        <v>107</v>
      </c>
      <c r="Y153">
        <v>0</v>
      </c>
      <c r="Z153">
        <v>0</v>
      </c>
      <c r="AA153">
        <v>0</v>
      </c>
      <c r="AB153" t="s">
        <v>88</v>
      </c>
      <c r="AC153">
        <v>85</v>
      </c>
      <c r="AD153">
        <v>84669</v>
      </c>
      <c r="AE153" t="s">
        <v>108</v>
      </c>
      <c r="AF153">
        <v>1825.9</v>
      </c>
      <c r="AG153">
        <v>5050.3500000000004</v>
      </c>
      <c r="AH153">
        <v>0</v>
      </c>
      <c r="AI153">
        <v>150000</v>
      </c>
      <c r="AJ153">
        <v>0</v>
      </c>
      <c r="AK153">
        <v>150000</v>
      </c>
      <c r="AL153">
        <v>10000</v>
      </c>
      <c r="AM153">
        <v>10000</v>
      </c>
      <c r="AN153">
        <v>521.69000000000005</v>
      </c>
      <c r="AO153">
        <v>0</v>
      </c>
      <c r="AP153">
        <v>130.41999999999999</v>
      </c>
      <c r="AQ153">
        <v>65.209999999999994</v>
      </c>
      <c r="AR153">
        <v>65.209999999999994</v>
      </c>
      <c r="AS153" t="s">
        <v>86</v>
      </c>
      <c r="AT153" t="s">
        <v>86</v>
      </c>
      <c r="AU153">
        <v>0</v>
      </c>
      <c r="AV153">
        <v>0</v>
      </c>
    </row>
    <row r="154" spans="1:48" x14ac:dyDescent="0.3">
      <c r="A154">
        <v>4166</v>
      </c>
      <c r="B154" t="s">
        <v>104</v>
      </c>
      <c r="C154" t="s">
        <v>530</v>
      </c>
      <c r="D154" t="s">
        <v>531</v>
      </c>
      <c r="E154" t="s">
        <v>105</v>
      </c>
      <c r="F154" t="s">
        <v>470</v>
      </c>
      <c r="G154" t="s">
        <v>471</v>
      </c>
      <c r="H154">
        <v>0</v>
      </c>
      <c r="I154">
        <v>0</v>
      </c>
      <c r="J154" t="s">
        <v>106</v>
      </c>
      <c r="K154" t="s">
        <v>106</v>
      </c>
      <c r="N154" s="9">
        <v>46136</v>
      </c>
      <c r="O154">
        <v>10698</v>
      </c>
      <c r="P154">
        <v>1</v>
      </c>
      <c r="Q154">
        <v>30</v>
      </c>
      <c r="R154" t="s">
        <v>86</v>
      </c>
      <c r="S154" t="s">
        <v>87</v>
      </c>
      <c r="T154" t="s">
        <v>89</v>
      </c>
      <c r="U154" t="s">
        <v>844</v>
      </c>
      <c r="V154">
        <v>2026</v>
      </c>
      <c r="W154">
        <v>2026</v>
      </c>
      <c r="X154" t="s">
        <v>107</v>
      </c>
      <c r="Y154">
        <v>0</v>
      </c>
      <c r="Z154">
        <v>0</v>
      </c>
      <c r="AA154">
        <v>0</v>
      </c>
      <c r="AB154" t="s">
        <v>88</v>
      </c>
      <c r="AC154">
        <v>85</v>
      </c>
      <c r="AD154">
        <v>84669</v>
      </c>
      <c r="AE154" t="s">
        <v>108</v>
      </c>
      <c r="AF154">
        <v>1825.9</v>
      </c>
      <c r="AG154">
        <v>5050.3500000000004</v>
      </c>
      <c r="AH154">
        <v>0</v>
      </c>
      <c r="AI154">
        <v>150000</v>
      </c>
      <c r="AJ154">
        <v>0</v>
      </c>
      <c r="AK154">
        <v>150000</v>
      </c>
      <c r="AL154">
        <v>10000</v>
      </c>
      <c r="AM154">
        <v>10000</v>
      </c>
      <c r="AN154">
        <v>521.69000000000005</v>
      </c>
      <c r="AO154">
        <v>0</v>
      </c>
      <c r="AP154">
        <v>130.41999999999999</v>
      </c>
      <c r="AQ154">
        <v>65.209999999999994</v>
      </c>
      <c r="AR154">
        <v>65.209999999999994</v>
      </c>
      <c r="AS154" t="s">
        <v>86</v>
      </c>
      <c r="AT154" t="s">
        <v>86</v>
      </c>
      <c r="AU154">
        <v>0</v>
      </c>
      <c r="AV154">
        <v>0</v>
      </c>
    </row>
    <row r="155" spans="1:48" x14ac:dyDescent="0.3">
      <c r="A155">
        <v>4167</v>
      </c>
      <c r="B155" t="s">
        <v>104</v>
      </c>
      <c r="C155" t="s">
        <v>532</v>
      </c>
      <c r="D155" t="s">
        <v>533</v>
      </c>
      <c r="E155" t="s">
        <v>105</v>
      </c>
      <c r="F155" t="s">
        <v>470</v>
      </c>
      <c r="G155" t="s">
        <v>471</v>
      </c>
      <c r="H155">
        <v>0</v>
      </c>
      <c r="I155">
        <v>0</v>
      </c>
      <c r="J155" t="s">
        <v>106</v>
      </c>
      <c r="K155" t="s">
        <v>106</v>
      </c>
      <c r="N155" s="9">
        <v>46136</v>
      </c>
      <c r="O155">
        <v>10698</v>
      </c>
      <c r="P155">
        <v>1</v>
      </c>
      <c r="Q155">
        <v>31</v>
      </c>
      <c r="R155" t="s">
        <v>86</v>
      </c>
      <c r="S155" t="s">
        <v>87</v>
      </c>
      <c r="T155" t="s">
        <v>89</v>
      </c>
      <c r="U155" t="s">
        <v>844</v>
      </c>
      <c r="V155">
        <v>2026</v>
      </c>
      <c r="W155">
        <v>2026</v>
      </c>
      <c r="X155" t="s">
        <v>107</v>
      </c>
      <c r="Y155">
        <v>0</v>
      </c>
      <c r="Z155">
        <v>0</v>
      </c>
      <c r="AA155">
        <v>0</v>
      </c>
      <c r="AB155" t="s">
        <v>88</v>
      </c>
      <c r="AC155">
        <v>85</v>
      </c>
      <c r="AD155">
        <v>84669</v>
      </c>
      <c r="AE155" t="s">
        <v>108</v>
      </c>
      <c r="AF155">
        <v>1825.9</v>
      </c>
      <c r="AG155">
        <v>5050.3500000000004</v>
      </c>
      <c r="AH155">
        <v>0</v>
      </c>
      <c r="AI155">
        <v>150000</v>
      </c>
      <c r="AJ155">
        <v>0</v>
      </c>
      <c r="AK155">
        <v>150000</v>
      </c>
      <c r="AL155">
        <v>10000</v>
      </c>
      <c r="AM155">
        <v>10000</v>
      </c>
      <c r="AN155">
        <v>521.69000000000005</v>
      </c>
      <c r="AO155">
        <v>0</v>
      </c>
      <c r="AP155">
        <v>130.41999999999999</v>
      </c>
      <c r="AQ155">
        <v>65.209999999999994</v>
      </c>
      <c r="AR155">
        <v>65.209999999999994</v>
      </c>
      <c r="AS155" t="s">
        <v>86</v>
      </c>
      <c r="AT155" t="s">
        <v>86</v>
      </c>
      <c r="AU155">
        <v>0</v>
      </c>
      <c r="AV155">
        <v>0</v>
      </c>
    </row>
    <row r="156" spans="1:48" x14ac:dyDescent="0.3">
      <c r="A156">
        <v>4168</v>
      </c>
      <c r="B156" t="s">
        <v>104</v>
      </c>
      <c r="C156" t="s">
        <v>534</v>
      </c>
      <c r="D156" t="s">
        <v>535</v>
      </c>
      <c r="E156" t="s">
        <v>105</v>
      </c>
      <c r="F156" t="s">
        <v>470</v>
      </c>
      <c r="G156" t="s">
        <v>471</v>
      </c>
      <c r="H156">
        <v>0</v>
      </c>
      <c r="I156">
        <v>0</v>
      </c>
      <c r="J156" t="s">
        <v>106</v>
      </c>
      <c r="K156" t="s">
        <v>106</v>
      </c>
      <c r="N156" s="9">
        <v>46136</v>
      </c>
      <c r="O156">
        <v>10698</v>
      </c>
      <c r="P156">
        <v>1</v>
      </c>
      <c r="Q156">
        <v>32</v>
      </c>
      <c r="R156" t="s">
        <v>86</v>
      </c>
      <c r="S156" t="s">
        <v>87</v>
      </c>
      <c r="T156" t="s">
        <v>89</v>
      </c>
      <c r="U156" t="s">
        <v>844</v>
      </c>
      <c r="V156">
        <v>2026</v>
      </c>
      <c r="W156">
        <v>2026</v>
      </c>
      <c r="X156" t="s">
        <v>107</v>
      </c>
      <c r="Y156">
        <v>0</v>
      </c>
      <c r="Z156">
        <v>0</v>
      </c>
      <c r="AA156">
        <v>0</v>
      </c>
      <c r="AB156" t="s">
        <v>88</v>
      </c>
      <c r="AC156">
        <v>85</v>
      </c>
      <c r="AD156">
        <v>84669</v>
      </c>
      <c r="AE156" t="s">
        <v>108</v>
      </c>
      <c r="AF156">
        <v>1825.9</v>
      </c>
      <c r="AG156">
        <v>5050.3500000000004</v>
      </c>
      <c r="AH156">
        <v>0</v>
      </c>
      <c r="AI156">
        <v>150000</v>
      </c>
      <c r="AJ156">
        <v>0</v>
      </c>
      <c r="AK156">
        <v>150000</v>
      </c>
      <c r="AL156">
        <v>10000</v>
      </c>
      <c r="AM156">
        <v>10000</v>
      </c>
      <c r="AN156">
        <v>521.69000000000005</v>
      </c>
      <c r="AO156">
        <v>0</v>
      </c>
      <c r="AP156">
        <v>130.41999999999999</v>
      </c>
      <c r="AQ156">
        <v>65.209999999999994</v>
      </c>
      <c r="AR156">
        <v>65.209999999999994</v>
      </c>
      <c r="AS156" t="s">
        <v>86</v>
      </c>
      <c r="AT156" t="s">
        <v>86</v>
      </c>
      <c r="AU156">
        <v>0</v>
      </c>
      <c r="AV156">
        <v>0</v>
      </c>
    </row>
    <row r="157" spans="1:48" x14ac:dyDescent="0.3">
      <c r="A157">
        <v>4169</v>
      </c>
      <c r="B157" t="s">
        <v>104</v>
      </c>
      <c r="C157" t="s">
        <v>536</v>
      </c>
      <c r="D157" t="s">
        <v>537</v>
      </c>
      <c r="E157" t="s">
        <v>105</v>
      </c>
      <c r="F157" t="s">
        <v>470</v>
      </c>
      <c r="G157" t="s">
        <v>471</v>
      </c>
      <c r="H157">
        <v>0</v>
      </c>
      <c r="I157">
        <v>0</v>
      </c>
      <c r="J157" t="s">
        <v>106</v>
      </c>
      <c r="K157" t="s">
        <v>106</v>
      </c>
      <c r="N157" s="9">
        <v>46136</v>
      </c>
      <c r="O157">
        <v>10698</v>
      </c>
      <c r="P157">
        <v>1</v>
      </c>
      <c r="Q157">
        <v>33</v>
      </c>
      <c r="R157" t="s">
        <v>86</v>
      </c>
      <c r="S157" t="s">
        <v>87</v>
      </c>
      <c r="T157" t="s">
        <v>89</v>
      </c>
      <c r="U157" t="s">
        <v>844</v>
      </c>
      <c r="V157">
        <v>2026</v>
      </c>
      <c r="W157">
        <v>2026</v>
      </c>
      <c r="X157" t="s">
        <v>107</v>
      </c>
      <c r="Y157">
        <v>0</v>
      </c>
      <c r="Z157">
        <v>0</v>
      </c>
      <c r="AA157">
        <v>0</v>
      </c>
      <c r="AB157" t="s">
        <v>88</v>
      </c>
      <c r="AC157">
        <v>85</v>
      </c>
      <c r="AD157">
        <v>84669</v>
      </c>
      <c r="AE157" t="s">
        <v>108</v>
      </c>
      <c r="AF157">
        <v>1825.9</v>
      </c>
      <c r="AG157">
        <v>5050.3500000000004</v>
      </c>
      <c r="AH157">
        <v>0</v>
      </c>
      <c r="AI157">
        <v>150000</v>
      </c>
      <c r="AJ157">
        <v>0</v>
      </c>
      <c r="AK157">
        <v>150000</v>
      </c>
      <c r="AL157">
        <v>10000</v>
      </c>
      <c r="AM157">
        <v>10000</v>
      </c>
      <c r="AN157">
        <v>521.69000000000005</v>
      </c>
      <c r="AO157">
        <v>0</v>
      </c>
      <c r="AP157">
        <v>130.41999999999999</v>
      </c>
      <c r="AQ157">
        <v>65.209999999999994</v>
      </c>
      <c r="AR157">
        <v>65.209999999999994</v>
      </c>
      <c r="AS157" t="s">
        <v>86</v>
      </c>
      <c r="AT157" t="s">
        <v>86</v>
      </c>
      <c r="AU157">
        <v>0</v>
      </c>
      <c r="AV157">
        <v>0</v>
      </c>
    </row>
    <row r="158" spans="1:48" x14ac:dyDescent="0.3">
      <c r="A158">
        <v>4170</v>
      </c>
      <c r="B158" t="s">
        <v>104</v>
      </c>
      <c r="C158" t="s">
        <v>540</v>
      </c>
      <c r="D158" t="s">
        <v>541</v>
      </c>
      <c r="E158" t="s">
        <v>105</v>
      </c>
      <c r="F158" t="s">
        <v>538</v>
      </c>
      <c r="G158" t="s">
        <v>539</v>
      </c>
      <c r="H158">
        <v>0</v>
      </c>
      <c r="I158">
        <v>0</v>
      </c>
      <c r="J158" t="s">
        <v>106</v>
      </c>
      <c r="K158" t="s">
        <v>106</v>
      </c>
      <c r="N158" s="9">
        <v>46139</v>
      </c>
      <c r="O158">
        <v>10487</v>
      </c>
      <c r="P158">
        <v>3</v>
      </c>
      <c r="Q158">
        <v>1</v>
      </c>
      <c r="R158" t="s">
        <v>86</v>
      </c>
      <c r="S158" t="s">
        <v>87</v>
      </c>
      <c r="T158" t="s">
        <v>91</v>
      </c>
      <c r="U158" t="s">
        <v>114</v>
      </c>
      <c r="V158">
        <v>2024</v>
      </c>
      <c r="W158">
        <v>2024</v>
      </c>
      <c r="X158" t="s">
        <v>112</v>
      </c>
      <c r="Y158">
        <v>0</v>
      </c>
      <c r="Z158">
        <v>0</v>
      </c>
      <c r="AA158">
        <v>0</v>
      </c>
      <c r="AB158" t="s">
        <v>93</v>
      </c>
      <c r="AC158">
        <v>85</v>
      </c>
      <c r="AD158">
        <v>450414</v>
      </c>
      <c r="AE158" t="s">
        <v>113</v>
      </c>
      <c r="AF158">
        <v>3942.3</v>
      </c>
      <c r="AG158">
        <v>24782.1</v>
      </c>
      <c r="AH158">
        <v>0</v>
      </c>
      <c r="AI158">
        <v>300000</v>
      </c>
      <c r="AJ158">
        <v>0</v>
      </c>
      <c r="AK158">
        <v>300000</v>
      </c>
      <c r="AL158">
        <v>10000</v>
      </c>
      <c r="AM158">
        <v>10000</v>
      </c>
      <c r="AN158">
        <v>1126.3699999999999</v>
      </c>
      <c r="AO158">
        <v>0</v>
      </c>
      <c r="AP158">
        <v>281.58999999999997</v>
      </c>
      <c r="AQ158">
        <v>140.80000000000001</v>
      </c>
      <c r="AR158">
        <v>140.80000000000001</v>
      </c>
      <c r="AS158" t="s">
        <v>86</v>
      </c>
      <c r="AT158" t="s">
        <v>86</v>
      </c>
      <c r="AU158">
        <v>0</v>
      </c>
      <c r="AV158">
        <v>0</v>
      </c>
    </row>
    <row r="159" spans="1:48" x14ac:dyDescent="0.3">
      <c r="A159">
        <v>4171</v>
      </c>
      <c r="B159" t="s">
        <v>104</v>
      </c>
      <c r="C159" t="s">
        <v>544</v>
      </c>
      <c r="D159" t="s">
        <v>545</v>
      </c>
      <c r="E159" t="s">
        <v>105</v>
      </c>
      <c r="F159" t="s">
        <v>542</v>
      </c>
      <c r="G159" t="s">
        <v>543</v>
      </c>
      <c r="H159">
        <v>0</v>
      </c>
      <c r="I159">
        <v>0</v>
      </c>
      <c r="J159" t="s">
        <v>106</v>
      </c>
      <c r="K159" t="s">
        <v>106</v>
      </c>
      <c r="N159" s="9">
        <v>46139</v>
      </c>
      <c r="O159">
        <v>10670</v>
      </c>
      <c r="P159">
        <v>1</v>
      </c>
      <c r="Q159">
        <v>1</v>
      </c>
      <c r="R159" t="s">
        <v>86</v>
      </c>
      <c r="S159" t="s">
        <v>87</v>
      </c>
      <c r="T159" t="s">
        <v>89</v>
      </c>
      <c r="U159" t="s">
        <v>839</v>
      </c>
      <c r="V159">
        <v>2026</v>
      </c>
      <c r="W159">
        <v>2026</v>
      </c>
      <c r="X159" t="s">
        <v>107</v>
      </c>
      <c r="Y159">
        <v>0</v>
      </c>
      <c r="Z159">
        <v>0</v>
      </c>
      <c r="AA159">
        <v>0</v>
      </c>
      <c r="AB159" t="s">
        <v>88</v>
      </c>
      <c r="AC159">
        <v>85</v>
      </c>
      <c r="AD159">
        <v>84669</v>
      </c>
      <c r="AE159" t="s">
        <v>108</v>
      </c>
      <c r="AF159">
        <v>1825.9</v>
      </c>
      <c r="AG159">
        <v>5050.3500000000004</v>
      </c>
      <c r="AH159">
        <v>0</v>
      </c>
      <c r="AI159">
        <v>150000</v>
      </c>
      <c r="AJ159">
        <v>0</v>
      </c>
      <c r="AK159">
        <v>150000</v>
      </c>
      <c r="AL159">
        <v>10000</v>
      </c>
      <c r="AM159">
        <v>10000</v>
      </c>
      <c r="AN159">
        <v>521.69000000000005</v>
      </c>
      <c r="AO159">
        <v>0</v>
      </c>
      <c r="AP159">
        <v>130.41999999999999</v>
      </c>
      <c r="AQ159">
        <v>65.209999999999994</v>
      </c>
      <c r="AR159">
        <v>65.209999999999994</v>
      </c>
      <c r="AS159" t="s">
        <v>86</v>
      </c>
      <c r="AT159" t="s">
        <v>86</v>
      </c>
      <c r="AU159">
        <v>0</v>
      </c>
      <c r="AV159">
        <v>0</v>
      </c>
    </row>
    <row r="160" spans="1:48" x14ac:dyDescent="0.3">
      <c r="A160">
        <v>4172</v>
      </c>
      <c r="B160" t="s">
        <v>104</v>
      </c>
      <c r="C160" t="s">
        <v>546</v>
      </c>
      <c r="D160" t="s">
        <v>547</v>
      </c>
      <c r="E160" t="s">
        <v>105</v>
      </c>
      <c r="F160" t="s">
        <v>542</v>
      </c>
      <c r="G160" t="s">
        <v>543</v>
      </c>
      <c r="H160">
        <v>0</v>
      </c>
      <c r="I160">
        <v>0</v>
      </c>
      <c r="J160" t="s">
        <v>106</v>
      </c>
      <c r="K160" t="s">
        <v>106</v>
      </c>
      <c r="N160" s="9">
        <v>46139</v>
      </c>
      <c r="O160">
        <v>10670</v>
      </c>
      <c r="P160">
        <v>1</v>
      </c>
      <c r="Q160">
        <v>2</v>
      </c>
      <c r="R160" t="s">
        <v>86</v>
      </c>
      <c r="S160" t="s">
        <v>87</v>
      </c>
      <c r="T160" t="s">
        <v>89</v>
      </c>
      <c r="U160" t="s">
        <v>839</v>
      </c>
      <c r="V160">
        <v>2026</v>
      </c>
      <c r="W160">
        <v>2026</v>
      </c>
      <c r="X160" t="s">
        <v>107</v>
      </c>
      <c r="Y160">
        <v>0</v>
      </c>
      <c r="Z160">
        <v>0</v>
      </c>
      <c r="AA160">
        <v>0</v>
      </c>
      <c r="AB160" t="s">
        <v>88</v>
      </c>
      <c r="AC160">
        <v>85</v>
      </c>
      <c r="AD160">
        <v>84669</v>
      </c>
      <c r="AE160" t="s">
        <v>108</v>
      </c>
      <c r="AF160">
        <v>1825.9</v>
      </c>
      <c r="AG160">
        <v>5050.3500000000004</v>
      </c>
      <c r="AH160">
        <v>0</v>
      </c>
      <c r="AI160">
        <v>150000</v>
      </c>
      <c r="AJ160">
        <v>0</v>
      </c>
      <c r="AK160">
        <v>150000</v>
      </c>
      <c r="AL160">
        <v>10000</v>
      </c>
      <c r="AM160">
        <v>10000</v>
      </c>
      <c r="AN160">
        <v>521.69000000000005</v>
      </c>
      <c r="AO160">
        <v>0</v>
      </c>
      <c r="AP160">
        <v>130.41999999999999</v>
      </c>
      <c r="AQ160">
        <v>65.209999999999994</v>
      </c>
      <c r="AR160">
        <v>65.209999999999994</v>
      </c>
      <c r="AS160" t="s">
        <v>86</v>
      </c>
      <c r="AT160" t="s">
        <v>86</v>
      </c>
      <c r="AU160">
        <v>0</v>
      </c>
      <c r="AV160">
        <v>0</v>
      </c>
    </row>
    <row r="161" spans="1:48" x14ac:dyDescent="0.3">
      <c r="A161">
        <v>4173</v>
      </c>
      <c r="B161" t="s">
        <v>104</v>
      </c>
      <c r="C161" t="s">
        <v>548</v>
      </c>
      <c r="D161" t="s">
        <v>549</v>
      </c>
      <c r="E161" t="s">
        <v>105</v>
      </c>
      <c r="F161" t="s">
        <v>542</v>
      </c>
      <c r="G161" t="s">
        <v>543</v>
      </c>
      <c r="H161">
        <v>0</v>
      </c>
      <c r="I161">
        <v>0</v>
      </c>
      <c r="J161" t="s">
        <v>106</v>
      </c>
      <c r="K161" t="s">
        <v>106</v>
      </c>
      <c r="N161" s="9">
        <v>46139</v>
      </c>
      <c r="O161">
        <v>10670</v>
      </c>
      <c r="P161">
        <v>1</v>
      </c>
      <c r="Q161">
        <v>3</v>
      </c>
      <c r="R161" t="s">
        <v>86</v>
      </c>
      <c r="S161" t="s">
        <v>87</v>
      </c>
      <c r="T161" t="s">
        <v>89</v>
      </c>
      <c r="U161" t="s">
        <v>839</v>
      </c>
      <c r="V161">
        <v>2026</v>
      </c>
      <c r="W161">
        <v>2026</v>
      </c>
      <c r="X161" t="s">
        <v>107</v>
      </c>
      <c r="Y161">
        <v>0</v>
      </c>
      <c r="Z161">
        <v>0</v>
      </c>
      <c r="AA161">
        <v>0</v>
      </c>
      <c r="AB161" t="s">
        <v>88</v>
      </c>
      <c r="AC161">
        <v>85</v>
      </c>
      <c r="AD161">
        <v>84669</v>
      </c>
      <c r="AE161" t="s">
        <v>108</v>
      </c>
      <c r="AF161">
        <v>1825.9</v>
      </c>
      <c r="AG161">
        <v>5050.3500000000004</v>
      </c>
      <c r="AH161">
        <v>0</v>
      </c>
      <c r="AI161">
        <v>150000</v>
      </c>
      <c r="AJ161">
        <v>0</v>
      </c>
      <c r="AK161">
        <v>150000</v>
      </c>
      <c r="AL161">
        <v>10000</v>
      </c>
      <c r="AM161">
        <v>10000</v>
      </c>
      <c r="AN161">
        <v>521.69000000000005</v>
      </c>
      <c r="AO161">
        <v>0</v>
      </c>
      <c r="AP161">
        <v>130.41999999999999</v>
      </c>
      <c r="AQ161">
        <v>65.209999999999994</v>
      </c>
      <c r="AR161">
        <v>65.209999999999994</v>
      </c>
      <c r="AS161" t="s">
        <v>86</v>
      </c>
      <c r="AT161" t="s">
        <v>86</v>
      </c>
      <c r="AU161">
        <v>0</v>
      </c>
      <c r="AV161">
        <v>0</v>
      </c>
    </row>
    <row r="162" spans="1:48" x14ac:dyDescent="0.3">
      <c r="A162">
        <v>4174</v>
      </c>
      <c r="B162" t="s">
        <v>104</v>
      </c>
      <c r="C162" t="s">
        <v>550</v>
      </c>
      <c r="D162" t="s">
        <v>551</v>
      </c>
      <c r="E162" t="s">
        <v>105</v>
      </c>
      <c r="F162" t="s">
        <v>178</v>
      </c>
      <c r="G162" t="s">
        <v>179</v>
      </c>
      <c r="H162">
        <v>0</v>
      </c>
      <c r="I162">
        <v>0</v>
      </c>
      <c r="J162" t="s">
        <v>106</v>
      </c>
      <c r="K162" t="s">
        <v>106</v>
      </c>
      <c r="N162" s="9">
        <v>46139</v>
      </c>
      <c r="O162">
        <v>10645</v>
      </c>
      <c r="P162">
        <v>1</v>
      </c>
      <c r="Q162">
        <v>5</v>
      </c>
      <c r="R162" t="s">
        <v>86</v>
      </c>
      <c r="S162" t="s">
        <v>87</v>
      </c>
      <c r="T162" t="s">
        <v>182</v>
      </c>
      <c r="U162" t="s">
        <v>845</v>
      </c>
      <c r="V162">
        <v>2026</v>
      </c>
      <c r="W162">
        <v>2026</v>
      </c>
      <c r="X162" t="s">
        <v>107</v>
      </c>
      <c r="Y162">
        <v>0</v>
      </c>
      <c r="Z162">
        <v>0</v>
      </c>
      <c r="AA162">
        <v>0</v>
      </c>
      <c r="AB162" t="s">
        <v>184</v>
      </c>
      <c r="AC162">
        <v>85</v>
      </c>
      <c r="AD162">
        <v>104702</v>
      </c>
      <c r="AE162" t="s">
        <v>108</v>
      </c>
      <c r="AF162">
        <v>2105.8200000000002</v>
      </c>
      <c r="AG162">
        <v>5824.6</v>
      </c>
      <c r="AH162">
        <v>0</v>
      </c>
      <c r="AI162">
        <v>150000</v>
      </c>
      <c r="AJ162">
        <v>0</v>
      </c>
      <c r="AK162">
        <v>150000</v>
      </c>
      <c r="AL162">
        <v>10000</v>
      </c>
      <c r="AM162">
        <v>10000</v>
      </c>
      <c r="AN162">
        <v>601.66</v>
      </c>
      <c r="AO162">
        <v>0</v>
      </c>
      <c r="AP162">
        <v>150.41999999999999</v>
      </c>
      <c r="AQ162">
        <v>75.209999999999994</v>
      </c>
      <c r="AR162">
        <v>75.209999999999994</v>
      </c>
      <c r="AS162" t="s">
        <v>86</v>
      </c>
      <c r="AT162" t="s">
        <v>86</v>
      </c>
      <c r="AU162">
        <v>0</v>
      </c>
      <c r="AV162">
        <v>0</v>
      </c>
    </row>
    <row r="163" spans="1:48" x14ac:dyDescent="0.3">
      <c r="A163">
        <v>4175</v>
      </c>
      <c r="B163" t="s">
        <v>104</v>
      </c>
      <c r="C163" t="s">
        <v>552</v>
      </c>
      <c r="D163" t="s">
        <v>553</v>
      </c>
      <c r="E163" t="s">
        <v>105</v>
      </c>
      <c r="F163" t="s">
        <v>178</v>
      </c>
      <c r="G163" t="s">
        <v>179</v>
      </c>
      <c r="H163">
        <v>0</v>
      </c>
      <c r="I163">
        <v>0</v>
      </c>
      <c r="J163" t="s">
        <v>106</v>
      </c>
      <c r="K163" t="s">
        <v>106</v>
      </c>
      <c r="N163" s="9">
        <v>46139</v>
      </c>
      <c r="O163">
        <v>10645</v>
      </c>
      <c r="P163">
        <v>1</v>
      </c>
      <c r="Q163">
        <v>6</v>
      </c>
      <c r="R163" t="s">
        <v>86</v>
      </c>
      <c r="S163" t="s">
        <v>87</v>
      </c>
      <c r="T163" t="s">
        <v>182</v>
      </c>
      <c r="U163" t="s">
        <v>845</v>
      </c>
      <c r="V163">
        <v>2026</v>
      </c>
      <c r="W163">
        <v>2026</v>
      </c>
      <c r="X163" t="s">
        <v>107</v>
      </c>
      <c r="Y163">
        <v>0</v>
      </c>
      <c r="Z163">
        <v>0</v>
      </c>
      <c r="AA163">
        <v>0</v>
      </c>
      <c r="AB163" t="s">
        <v>184</v>
      </c>
      <c r="AC163">
        <v>85</v>
      </c>
      <c r="AD163">
        <v>104702</v>
      </c>
      <c r="AE163" t="s">
        <v>108</v>
      </c>
      <c r="AF163">
        <v>2105.8200000000002</v>
      </c>
      <c r="AG163">
        <v>5824.6</v>
      </c>
      <c r="AH163">
        <v>0</v>
      </c>
      <c r="AI163">
        <v>150000</v>
      </c>
      <c r="AJ163">
        <v>0</v>
      </c>
      <c r="AK163">
        <v>150000</v>
      </c>
      <c r="AL163">
        <v>10000</v>
      </c>
      <c r="AM163">
        <v>10000</v>
      </c>
      <c r="AN163">
        <v>601.66</v>
      </c>
      <c r="AO163">
        <v>0</v>
      </c>
      <c r="AP163">
        <v>150.41999999999999</v>
      </c>
      <c r="AQ163">
        <v>75.209999999999994</v>
      </c>
      <c r="AR163">
        <v>75.209999999999994</v>
      </c>
      <c r="AS163" t="s">
        <v>86</v>
      </c>
      <c r="AT163" t="s">
        <v>86</v>
      </c>
      <c r="AU163">
        <v>0</v>
      </c>
      <c r="AV163">
        <v>0</v>
      </c>
    </row>
    <row r="164" spans="1:48" x14ac:dyDescent="0.3">
      <c r="A164">
        <v>4176</v>
      </c>
      <c r="B164" t="s">
        <v>104</v>
      </c>
      <c r="C164" t="s">
        <v>554</v>
      </c>
      <c r="D164" t="s">
        <v>555</v>
      </c>
      <c r="E164" t="s">
        <v>105</v>
      </c>
      <c r="F164" t="s">
        <v>178</v>
      </c>
      <c r="G164" t="s">
        <v>179</v>
      </c>
      <c r="H164">
        <v>0</v>
      </c>
      <c r="I164">
        <v>0</v>
      </c>
      <c r="J164" t="s">
        <v>106</v>
      </c>
      <c r="K164" t="s">
        <v>106</v>
      </c>
      <c r="N164" s="9">
        <v>46139</v>
      </c>
      <c r="O164">
        <v>10645</v>
      </c>
      <c r="P164">
        <v>1</v>
      </c>
      <c r="Q164">
        <v>7</v>
      </c>
      <c r="R164" t="s">
        <v>86</v>
      </c>
      <c r="S164" t="s">
        <v>87</v>
      </c>
      <c r="T164" t="s">
        <v>182</v>
      </c>
      <c r="U164" t="s">
        <v>845</v>
      </c>
      <c r="V164">
        <v>2026</v>
      </c>
      <c r="W164">
        <v>2026</v>
      </c>
      <c r="X164" t="s">
        <v>107</v>
      </c>
      <c r="Y164">
        <v>0</v>
      </c>
      <c r="Z164">
        <v>0</v>
      </c>
      <c r="AA164">
        <v>0</v>
      </c>
      <c r="AB164" t="s">
        <v>184</v>
      </c>
      <c r="AC164">
        <v>85</v>
      </c>
      <c r="AD164">
        <v>104702</v>
      </c>
      <c r="AE164" t="s">
        <v>108</v>
      </c>
      <c r="AF164">
        <v>2105.8200000000002</v>
      </c>
      <c r="AG164">
        <v>5824.6</v>
      </c>
      <c r="AH164">
        <v>0</v>
      </c>
      <c r="AI164">
        <v>150000</v>
      </c>
      <c r="AJ164">
        <v>0</v>
      </c>
      <c r="AK164">
        <v>150000</v>
      </c>
      <c r="AL164">
        <v>10000</v>
      </c>
      <c r="AM164">
        <v>10000</v>
      </c>
      <c r="AN164">
        <v>601.66</v>
      </c>
      <c r="AO164">
        <v>0</v>
      </c>
      <c r="AP164">
        <v>150.41999999999999</v>
      </c>
      <c r="AQ164">
        <v>75.209999999999994</v>
      </c>
      <c r="AR164">
        <v>75.209999999999994</v>
      </c>
      <c r="AS164" t="s">
        <v>86</v>
      </c>
      <c r="AT164" t="s">
        <v>86</v>
      </c>
      <c r="AU164">
        <v>0</v>
      </c>
      <c r="AV164">
        <v>0</v>
      </c>
    </row>
    <row r="165" spans="1:48" x14ac:dyDescent="0.3">
      <c r="A165">
        <v>4177</v>
      </c>
      <c r="B165" t="s">
        <v>104</v>
      </c>
      <c r="C165" t="s">
        <v>556</v>
      </c>
      <c r="D165" t="s">
        <v>557</v>
      </c>
      <c r="E165" t="s">
        <v>105</v>
      </c>
      <c r="F165" t="s">
        <v>178</v>
      </c>
      <c r="G165" t="s">
        <v>179</v>
      </c>
      <c r="H165">
        <v>0</v>
      </c>
      <c r="I165">
        <v>0</v>
      </c>
      <c r="J165" t="s">
        <v>106</v>
      </c>
      <c r="K165" t="s">
        <v>106</v>
      </c>
      <c r="N165" s="9">
        <v>46139</v>
      </c>
      <c r="O165">
        <v>10645</v>
      </c>
      <c r="P165">
        <v>1</v>
      </c>
      <c r="Q165">
        <v>8</v>
      </c>
      <c r="R165" t="s">
        <v>86</v>
      </c>
      <c r="S165" t="s">
        <v>87</v>
      </c>
      <c r="T165" t="s">
        <v>182</v>
      </c>
      <c r="U165" t="s">
        <v>845</v>
      </c>
      <c r="V165">
        <v>2026</v>
      </c>
      <c r="W165">
        <v>2026</v>
      </c>
      <c r="X165" t="s">
        <v>107</v>
      </c>
      <c r="Y165">
        <v>0</v>
      </c>
      <c r="Z165">
        <v>0</v>
      </c>
      <c r="AA165">
        <v>0</v>
      </c>
      <c r="AB165" t="s">
        <v>184</v>
      </c>
      <c r="AC165">
        <v>85</v>
      </c>
      <c r="AD165">
        <v>104702</v>
      </c>
      <c r="AE165" t="s">
        <v>108</v>
      </c>
      <c r="AF165">
        <v>2105.8200000000002</v>
      </c>
      <c r="AG165">
        <v>5824.6</v>
      </c>
      <c r="AH165">
        <v>0</v>
      </c>
      <c r="AI165">
        <v>150000</v>
      </c>
      <c r="AJ165">
        <v>0</v>
      </c>
      <c r="AK165">
        <v>150000</v>
      </c>
      <c r="AL165">
        <v>10000</v>
      </c>
      <c r="AM165">
        <v>10000</v>
      </c>
      <c r="AN165">
        <v>601.66</v>
      </c>
      <c r="AO165">
        <v>0</v>
      </c>
      <c r="AP165">
        <v>150.41999999999999</v>
      </c>
      <c r="AQ165">
        <v>75.209999999999994</v>
      </c>
      <c r="AR165">
        <v>75.209999999999994</v>
      </c>
      <c r="AS165" t="s">
        <v>86</v>
      </c>
      <c r="AT165" t="s">
        <v>86</v>
      </c>
      <c r="AU165">
        <v>0</v>
      </c>
      <c r="AV165">
        <v>0</v>
      </c>
    </row>
    <row r="166" spans="1:48" x14ac:dyDescent="0.3">
      <c r="A166">
        <v>4178</v>
      </c>
      <c r="B166" t="s">
        <v>104</v>
      </c>
      <c r="C166" t="s">
        <v>558</v>
      </c>
      <c r="D166" t="s">
        <v>559</v>
      </c>
      <c r="E166" t="s">
        <v>105</v>
      </c>
      <c r="F166" t="s">
        <v>178</v>
      </c>
      <c r="G166" t="s">
        <v>179</v>
      </c>
      <c r="H166">
        <v>0</v>
      </c>
      <c r="I166">
        <v>0</v>
      </c>
      <c r="J166" t="s">
        <v>106</v>
      </c>
      <c r="K166" t="s">
        <v>106</v>
      </c>
      <c r="N166" s="9">
        <v>46139</v>
      </c>
      <c r="O166">
        <v>10645</v>
      </c>
      <c r="P166">
        <v>1</v>
      </c>
      <c r="Q166">
        <v>9</v>
      </c>
      <c r="R166" t="s">
        <v>86</v>
      </c>
      <c r="S166" t="s">
        <v>87</v>
      </c>
      <c r="T166" t="s">
        <v>182</v>
      </c>
      <c r="U166" t="s">
        <v>845</v>
      </c>
      <c r="V166">
        <v>2026</v>
      </c>
      <c r="W166">
        <v>2026</v>
      </c>
      <c r="X166" t="s">
        <v>107</v>
      </c>
      <c r="Y166">
        <v>0</v>
      </c>
      <c r="Z166">
        <v>0</v>
      </c>
      <c r="AA166">
        <v>0</v>
      </c>
      <c r="AB166" t="s">
        <v>184</v>
      </c>
      <c r="AC166">
        <v>85</v>
      </c>
      <c r="AD166">
        <v>104702</v>
      </c>
      <c r="AE166" t="s">
        <v>108</v>
      </c>
      <c r="AF166">
        <v>2105.8200000000002</v>
      </c>
      <c r="AG166">
        <v>5824.6</v>
      </c>
      <c r="AH166">
        <v>0</v>
      </c>
      <c r="AI166">
        <v>150000</v>
      </c>
      <c r="AJ166">
        <v>0</v>
      </c>
      <c r="AK166">
        <v>150000</v>
      </c>
      <c r="AL166">
        <v>10000</v>
      </c>
      <c r="AM166">
        <v>10000</v>
      </c>
      <c r="AN166">
        <v>601.66</v>
      </c>
      <c r="AO166">
        <v>0</v>
      </c>
      <c r="AP166">
        <v>150.41999999999999</v>
      </c>
      <c r="AQ166">
        <v>75.209999999999994</v>
      </c>
      <c r="AR166">
        <v>75.209999999999994</v>
      </c>
      <c r="AS166" t="s">
        <v>86</v>
      </c>
      <c r="AT166" t="s">
        <v>86</v>
      </c>
      <c r="AU166">
        <v>0</v>
      </c>
      <c r="AV166">
        <v>0</v>
      </c>
    </row>
    <row r="167" spans="1:48" x14ac:dyDescent="0.3">
      <c r="A167">
        <v>4179</v>
      </c>
      <c r="B167" t="s">
        <v>104</v>
      </c>
      <c r="C167" t="s">
        <v>560</v>
      </c>
      <c r="D167" t="s">
        <v>561</v>
      </c>
      <c r="E167" t="s">
        <v>105</v>
      </c>
      <c r="F167" t="s">
        <v>178</v>
      </c>
      <c r="G167" t="s">
        <v>179</v>
      </c>
      <c r="H167">
        <v>0</v>
      </c>
      <c r="I167">
        <v>0</v>
      </c>
      <c r="J167" t="s">
        <v>106</v>
      </c>
      <c r="K167" t="s">
        <v>106</v>
      </c>
      <c r="N167" s="9">
        <v>46139</v>
      </c>
      <c r="O167">
        <v>10645</v>
      </c>
      <c r="P167">
        <v>1</v>
      </c>
      <c r="Q167">
        <v>10</v>
      </c>
      <c r="R167" t="s">
        <v>86</v>
      </c>
      <c r="S167" t="s">
        <v>87</v>
      </c>
      <c r="T167" t="s">
        <v>182</v>
      </c>
      <c r="U167" t="s">
        <v>845</v>
      </c>
      <c r="V167">
        <v>2026</v>
      </c>
      <c r="W167">
        <v>2026</v>
      </c>
      <c r="X167" t="s">
        <v>107</v>
      </c>
      <c r="Y167">
        <v>0</v>
      </c>
      <c r="Z167">
        <v>0</v>
      </c>
      <c r="AA167">
        <v>0</v>
      </c>
      <c r="AB167" t="s">
        <v>184</v>
      </c>
      <c r="AC167">
        <v>85</v>
      </c>
      <c r="AD167">
        <v>104702</v>
      </c>
      <c r="AE167" t="s">
        <v>108</v>
      </c>
      <c r="AF167">
        <v>2105.8200000000002</v>
      </c>
      <c r="AG167">
        <v>5824.6</v>
      </c>
      <c r="AH167">
        <v>0</v>
      </c>
      <c r="AI167">
        <v>150000</v>
      </c>
      <c r="AJ167">
        <v>0</v>
      </c>
      <c r="AK167">
        <v>150000</v>
      </c>
      <c r="AL167">
        <v>10000</v>
      </c>
      <c r="AM167">
        <v>10000</v>
      </c>
      <c r="AN167">
        <v>601.66</v>
      </c>
      <c r="AO167">
        <v>0</v>
      </c>
      <c r="AP167">
        <v>150.41999999999999</v>
      </c>
      <c r="AQ167">
        <v>75.209999999999994</v>
      </c>
      <c r="AR167">
        <v>75.209999999999994</v>
      </c>
      <c r="AS167" t="s">
        <v>86</v>
      </c>
      <c r="AT167" t="s">
        <v>86</v>
      </c>
      <c r="AU167">
        <v>0</v>
      </c>
      <c r="AV167">
        <v>0</v>
      </c>
    </row>
    <row r="168" spans="1:48" x14ac:dyDescent="0.3">
      <c r="A168">
        <v>4180</v>
      </c>
      <c r="B168" t="s">
        <v>104</v>
      </c>
      <c r="C168" t="s">
        <v>562</v>
      </c>
      <c r="D168" t="s">
        <v>563</v>
      </c>
      <c r="E168" t="s">
        <v>105</v>
      </c>
      <c r="F168" t="s">
        <v>178</v>
      </c>
      <c r="G168" t="s">
        <v>179</v>
      </c>
      <c r="H168">
        <v>0</v>
      </c>
      <c r="I168">
        <v>0</v>
      </c>
      <c r="J168" t="s">
        <v>106</v>
      </c>
      <c r="K168" t="s">
        <v>106</v>
      </c>
      <c r="N168" s="9">
        <v>46139</v>
      </c>
      <c r="O168">
        <v>10645</v>
      </c>
      <c r="P168">
        <v>1</v>
      </c>
      <c r="Q168">
        <v>11</v>
      </c>
      <c r="R168" t="s">
        <v>86</v>
      </c>
      <c r="S168" t="s">
        <v>87</v>
      </c>
      <c r="T168" t="s">
        <v>182</v>
      </c>
      <c r="U168" t="s">
        <v>845</v>
      </c>
      <c r="V168">
        <v>2026</v>
      </c>
      <c r="W168">
        <v>2026</v>
      </c>
      <c r="X168" t="s">
        <v>107</v>
      </c>
      <c r="Y168">
        <v>0</v>
      </c>
      <c r="Z168">
        <v>0</v>
      </c>
      <c r="AA168">
        <v>0</v>
      </c>
      <c r="AB168" t="s">
        <v>184</v>
      </c>
      <c r="AC168">
        <v>85</v>
      </c>
      <c r="AD168">
        <v>104702</v>
      </c>
      <c r="AE168" t="s">
        <v>108</v>
      </c>
      <c r="AF168">
        <v>2105.8200000000002</v>
      </c>
      <c r="AG168">
        <v>5824.6</v>
      </c>
      <c r="AH168">
        <v>0</v>
      </c>
      <c r="AI168">
        <v>150000</v>
      </c>
      <c r="AJ168">
        <v>0</v>
      </c>
      <c r="AK168">
        <v>150000</v>
      </c>
      <c r="AL168">
        <v>10000</v>
      </c>
      <c r="AM168">
        <v>10000</v>
      </c>
      <c r="AN168">
        <v>601.66</v>
      </c>
      <c r="AO168">
        <v>0</v>
      </c>
      <c r="AP168">
        <v>150.41999999999999</v>
      </c>
      <c r="AQ168">
        <v>75.209999999999994</v>
      </c>
      <c r="AR168">
        <v>75.209999999999994</v>
      </c>
      <c r="AS168" t="s">
        <v>86</v>
      </c>
      <c r="AT168" t="s">
        <v>86</v>
      </c>
      <c r="AU168">
        <v>0</v>
      </c>
      <c r="AV168">
        <v>0</v>
      </c>
    </row>
    <row r="169" spans="1:48" x14ac:dyDescent="0.3">
      <c r="A169">
        <v>4181</v>
      </c>
      <c r="B169" t="s">
        <v>104</v>
      </c>
      <c r="C169" t="s">
        <v>564</v>
      </c>
      <c r="D169" t="s">
        <v>565</v>
      </c>
      <c r="E169" t="s">
        <v>105</v>
      </c>
      <c r="F169" t="s">
        <v>178</v>
      </c>
      <c r="G169" t="s">
        <v>179</v>
      </c>
      <c r="H169">
        <v>0</v>
      </c>
      <c r="I169">
        <v>0</v>
      </c>
      <c r="J169" t="s">
        <v>106</v>
      </c>
      <c r="K169" t="s">
        <v>106</v>
      </c>
      <c r="N169" s="9">
        <v>46139</v>
      </c>
      <c r="O169">
        <v>10645</v>
      </c>
      <c r="P169">
        <v>1</v>
      </c>
      <c r="Q169">
        <v>12</v>
      </c>
      <c r="R169" t="s">
        <v>86</v>
      </c>
      <c r="S169" t="s">
        <v>87</v>
      </c>
      <c r="T169" t="s">
        <v>182</v>
      </c>
      <c r="U169" t="s">
        <v>845</v>
      </c>
      <c r="V169">
        <v>2026</v>
      </c>
      <c r="W169">
        <v>2026</v>
      </c>
      <c r="X169" t="s">
        <v>107</v>
      </c>
      <c r="Y169">
        <v>0</v>
      </c>
      <c r="Z169">
        <v>0</v>
      </c>
      <c r="AA169">
        <v>0</v>
      </c>
      <c r="AB169" t="s">
        <v>184</v>
      </c>
      <c r="AC169">
        <v>85</v>
      </c>
      <c r="AD169">
        <v>104702</v>
      </c>
      <c r="AE169" t="s">
        <v>108</v>
      </c>
      <c r="AF169">
        <v>2105.8200000000002</v>
      </c>
      <c r="AG169">
        <v>5824.6</v>
      </c>
      <c r="AH169">
        <v>0</v>
      </c>
      <c r="AI169">
        <v>150000</v>
      </c>
      <c r="AJ169">
        <v>0</v>
      </c>
      <c r="AK169">
        <v>150000</v>
      </c>
      <c r="AL169">
        <v>10000</v>
      </c>
      <c r="AM169">
        <v>10000</v>
      </c>
      <c r="AN169">
        <v>601.66</v>
      </c>
      <c r="AO169">
        <v>0</v>
      </c>
      <c r="AP169">
        <v>150.41999999999999</v>
      </c>
      <c r="AQ169">
        <v>75.209999999999994</v>
      </c>
      <c r="AR169">
        <v>75.209999999999994</v>
      </c>
      <c r="AS169" t="s">
        <v>86</v>
      </c>
      <c r="AT169" t="s">
        <v>86</v>
      </c>
      <c r="AU169">
        <v>0</v>
      </c>
      <c r="AV169">
        <v>0</v>
      </c>
    </row>
    <row r="170" spans="1:48" x14ac:dyDescent="0.3">
      <c r="A170">
        <v>4182</v>
      </c>
      <c r="B170" t="s">
        <v>104</v>
      </c>
      <c r="C170" t="s">
        <v>566</v>
      </c>
      <c r="D170" t="s">
        <v>567</v>
      </c>
      <c r="E170" t="s">
        <v>105</v>
      </c>
      <c r="F170" t="s">
        <v>149</v>
      </c>
      <c r="G170" t="s">
        <v>150</v>
      </c>
      <c r="H170">
        <v>0</v>
      </c>
      <c r="I170">
        <v>0</v>
      </c>
      <c r="J170" t="s">
        <v>106</v>
      </c>
      <c r="K170" t="s">
        <v>106</v>
      </c>
      <c r="N170" s="9">
        <v>46139</v>
      </c>
      <c r="O170">
        <v>10681</v>
      </c>
      <c r="P170">
        <v>1</v>
      </c>
      <c r="Q170">
        <v>22</v>
      </c>
      <c r="R170" t="s">
        <v>86</v>
      </c>
      <c r="S170" t="s">
        <v>87</v>
      </c>
      <c r="T170" t="s">
        <v>89</v>
      </c>
      <c r="U170" t="s">
        <v>839</v>
      </c>
      <c r="V170">
        <v>2026</v>
      </c>
      <c r="W170">
        <v>2026</v>
      </c>
      <c r="X170" t="s">
        <v>107</v>
      </c>
      <c r="Y170">
        <v>0</v>
      </c>
      <c r="Z170">
        <v>0</v>
      </c>
      <c r="AA170">
        <v>0</v>
      </c>
      <c r="AB170" t="s">
        <v>88</v>
      </c>
      <c r="AC170">
        <v>85</v>
      </c>
      <c r="AD170">
        <v>84669</v>
      </c>
      <c r="AE170" t="s">
        <v>108</v>
      </c>
      <c r="AF170">
        <v>1825.9</v>
      </c>
      <c r="AG170">
        <v>5050.3500000000004</v>
      </c>
      <c r="AH170">
        <v>0</v>
      </c>
      <c r="AI170">
        <v>150000</v>
      </c>
      <c r="AJ170">
        <v>0</v>
      </c>
      <c r="AK170">
        <v>150000</v>
      </c>
      <c r="AL170">
        <v>10000</v>
      </c>
      <c r="AM170">
        <v>10000</v>
      </c>
      <c r="AN170">
        <v>521.69000000000005</v>
      </c>
      <c r="AO170">
        <v>0</v>
      </c>
      <c r="AP170">
        <v>130.41999999999999</v>
      </c>
      <c r="AQ170">
        <v>65.209999999999994</v>
      </c>
      <c r="AR170">
        <v>65.209999999999994</v>
      </c>
      <c r="AS170" t="s">
        <v>86</v>
      </c>
      <c r="AT170" t="s">
        <v>86</v>
      </c>
      <c r="AU170">
        <v>0</v>
      </c>
      <c r="AV170">
        <v>0</v>
      </c>
    </row>
    <row r="171" spans="1:48" x14ac:dyDescent="0.3">
      <c r="A171">
        <v>4183</v>
      </c>
      <c r="B171" t="s">
        <v>104</v>
      </c>
      <c r="C171" t="s">
        <v>568</v>
      </c>
      <c r="D171" t="s">
        <v>569</v>
      </c>
      <c r="E171" t="s">
        <v>105</v>
      </c>
      <c r="F171" t="s">
        <v>149</v>
      </c>
      <c r="G171" t="s">
        <v>150</v>
      </c>
      <c r="H171">
        <v>0</v>
      </c>
      <c r="I171">
        <v>0</v>
      </c>
      <c r="J171" t="s">
        <v>106</v>
      </c>
      <c r="K171" t="s">
        <v>106</v>
      </c>
      <c r="N171" s="9">
        <v>46139</v>
      </c>
      <c r="O171">
        <v>10681</v>
      </c>
      <c r="P171">
        <v>1</v>
      </c>
      <c r="Q171">
        <v>23</v>
      </c>
      <c r="R171" t="s">
        <v>86</v>
      </c>
      <c r="S171" t="s">
        <v>87</v>
      </c>
      <c r="T171" t="s">
        <v>89</v>
      </c>
      <c r="U171" t="s">
        <v>839</v>
      </c>
      <c r="V171">
        <v>2026</v>
      </c>
      <c r="W171">
        <v>2026</v>
      </c>
      <c r="X171" t="s">
        <v>107</v>
      </c>
      <c r="Y171">
        <v>0</v>
      </c>
      <c r="Z171">
        <v>0</v>
      </c>
      <c r="AA171">
        <v>0</v>
      </c>
      <c r="AB171" t="s">
        <v>88</v>
      </c>
      <c r="AC171">
        <v>85</v>
      </c>
      <c r="AD171">
        <v>84669</v>
      </c>
      <c r="AE171" t="s">
        <v>108</v>
      </c>
      <c r="AF171">
        <v>1825.9</v>
      </c>
      <c r="AG171">
        <v>5050.3500000000004</v>
      </c>
      <c r="AH171">
        <v>0</v>
      </c>
      <c r="AI171">
        <v>150000</v>
      </c>
      <c r="AJ171">
        <v>0</v>
      </c>
      <c r="AK171">
        <v>150000</v>
      </c>
      <c r="AL171">
        <v>10000</v>
      </c>
      <c r="AM171">
        <v>10000</v>
      </c>
      <c r="AN171">
        <v>521.69000000000005</v>
      </c>
      <c r="AO171">
        <v>0</v>
      </c>
      <c r="AP171">
        <v>130.41999999999999</v>
      </c>
      <c r="AQ171">
        <v>65.209999999999994</v>
      </c>
      <c r="AR171">
        <v>65.209999999999994</v>
      </c>
      <c r="AS171" t="s">
        <v>86</v>
      </c>
      <c r="AT171" t="s">
        <v>86</v>
      </c>
      <c r="AU171">
        <v>0</v>
      </c>
      <c r="AV171">
        <v>0</v>
      </c>
    </row>
    <row r="172" spans="1:48" x14ac:dyDescent="0.3">
      <c r="A172">
        <v>4184</v>
      </c>
      <c r="B172" t="s">
        <v>104</v>
      </c>
      <c r="C172" t="s">
        <v>570</v>
      </c>
      <c r="D172" t="s">
        <v>571</v>
      </c>
      <c r="E172" t="s">
        <v>105</v>
      </c>
      <c r="F172" t="s">
        <v>149</v>
      </c>
      <c r="G172" t="s">
        <v>150</v>
      </c>
      <c r="H172">
        <v>0</v>
      </c>
      <c r="I172">
        <v>0</v>
      </c>
      <c r="J172" t="s">
        <v>106</v>
      </c>
      <c r="K172" t="s">
        <v>106</v>
      </c>
      <c r="N172" s="9">
        <v>46139</v>
      </c>
      <c r="O172">
        <v>10681</v>
      </c>
      <c r="P172">
        <v>1</v>
      </c>
      <c r="Q172">
        <v>24</v>
      </c>
      <c r="R172" t="s">
        <v>86</v>
      </c>
      <c r="S172" t="s">
        <v>87</v>
      </c>
      <c r="T172" t="s">
        <v>89</v>
      </c>
      <c r="U172" t="s">
        <v>839</v>
      </c>
      <c r="V172">
        <v>2026</v>
      </c>
      <c r="W172">
        <v>2026</v>
      </c>
      <c r="X172" t="s">
        <v>107</v>
      </c>
      <c r="Y172">
        <v>0</v>
      </c>
      <c r="Z172">
        <v>0</v>
      </c>
      <c r="AA172">
        <v>0</v>
      </c>
      <c r="AB172" t="s">
        <v>88</v>
      </c>
      <c r="AC172">
        <v>85</v>
      </c>
      <c r="AD172">
        <v>84669</v>
      </c>
      <c r="AE172" t="s">
        <v>108</v>
      </c>
      <c r="AF172">
        <v>1825.9</v>
      </c>
      <c r="AG172">
        <v>5050.3500000000004</v>
      </c>
      <c r="AH172">
        <v>0</v>
      </c>
      <c r="AI172">
        <v>150000</v>
      </c>
      <c r="AJ172">
        <v>0</v>
      </c>
      <c r="AK172">
        <v>150000</v>
      </c>
      <c r="AL172">
        <v>10000</v>
      </c>
      <c r="AM172">
        <v>10000</v>
      </c>
      <c r="AN172">
        <v>521.69000000000005</v>
      </c>
      <c r="AO172">
        <v>0</v>
      </c>
      <c r="AP172">
        <v>130.41999999999999</v>
      </c>
      <c r="AQ172">
        <v>65.209999999999994</v>
      </c>
      <c r="AR172">
        <v>65.209999999999994</v>
      </c>
      <c r="AS172" t="s">
        <v>86</v>
      </c>
      <c r="AT172" t="s">
        <v>86</v>
      </c>
      <c r="AU172">
        <v>0</v>
      </c>
      <c r="AV172">
        <v>0</v>
      </c>
    </row>
    <row r="173" spans="1:48" x14ac:dyDescent="0.3">
      <c r="A173">
        <v>4185</v>
      </c>
      <c r="B173" t="s">
        <v>104</v>
      </c>
      <c r="C173" t="s">
        <v>572</v>
      </c>
      <c r="D173" t="s">
        <v>573</v>
      </c>
      <c r="E173" t="s">
        <v>105</v>
      </c>
      <c r="F173" t="s">
        <v>149</v>
      </c>
      <c r="G173" t="s">
        <v>150</v>
      </c>
      <c r="H173">
        <v>0</v>
      </c>
      <c r="I173">
        <v>0</v>
      </c>
      <c r="J173" t="s">
        <v>106</v>
      </c>
      <c r="K173" t="s">
        <v>106</v>
      </c>
      <c r="N173" s="9">
        <v>46139</v>
      </c>
      <c r="O173">
        <v>10681</v>
      </c>
      <c r="P173">
        <v>1</v>
      </c>
      <c r="Q173">
        <v>25</v>
      </c>
      <c r="R173" t="s">
        <v>86</v>
      </c>
      <c r="S173" t="s">
        <v>87</v>
      </c>
      <c r="T173" t="s">
        <v>89</v>
      </c>
      <c r="U173" t="s">
        <v>839</v>
      </c>
      <c r="V173">
        <v>2026</v>
      </c>
      <c r="W173">
        <v>2026</v>
      </c>
      <c r="X173" t="s">
        <v>107</v>
      </c>
      <c r="Y173">
        <v>0</v>
      </c>
      <c r="Z173">
        <v>0</v>
      </c>
      <c r="AA173">
        <v>0</v>
      </c>
      <c r="AB173" t="s">
        <v>88</v>
      </c>
      <c r="AC173">
        <v>85</v>
      </c>
      <c r="AD173">
        <v>84669</v>
      </c>
      <c r="AE173" t="s">
        <v>108</v>
      </c>
      <c r="AF173">
        <v>1825.9</v>
      </c>
      <c r="AG173">
        <v>5050.3500000000004</v>
      </c>
      <c r="AH173">
        <v>0</v>
      </c>
      <c r="AI173">
        <v>150000</v>
      </c>
      <c r="AJ173">
        <v>0</v>
      </c>
      <c r="AK173">
        <v>150000</v>
      </c>
      <c r="AL173">
        <v>10000</v>
      </c>
      <c r="AM173">
        <v>10000</v>
      </c>
      <c r="AN173">
        <v>521.69000000000005</v>
      </c>
      <c r="AO173">
        <v>0</v>
      </c>
      <c r="AP173">
        <v>130.41999999999999</v>
      </c>
      <c r="AQ173">
        <v>65.209999999999994</v>
      </c>
      <c r="AR173">
        <v>65.209999999999994</v>
      </c>
      <c r="AS173" t="s">
        <v>86</v>
      </c>
      <c r="AT173" t="s">
        <v>86</v>
      </c>
      <c r="AU173">
        <v>0</v>
      </c>
      <c r="AV173">
        <v>0</v>
      </c>
    </row>
    <row r="174" spans="1:48" x14ac:dyDescent="0.3">
      <c r="A174">
        <v>4186</v>
      </c>
      <c r="B174" t="s">
        <v>104</v>
      </c>
      <c r="C174" t="s">
        <v>576</v>
      </c>
      <c r="D174" t="s">
        <v>577</v>
      </c>
      <c r="E174" t="s">
        <v>105</v>
      </c>
      <c r="F174" t="s">
        <v>574</v>
      </c>
      <c r="G174" t="s">
        <v>575</v>
      </c>
      <c r="H174">
        <v>0</v>
      </c>
      <c r="I174">
        <v>0</v>
      </c>
      <c r="J174" t="s">
        <v>106</v>
      </c>
      <c r="K174" t="s">
        <v>106</v>
      </c>
      <c r="N174" s="9">
        <v>46139</v>
      </c>
      <c r="O174">
        <v>10718</v>
      </c>
      <c r="P174">
        <v>1</v>
      </c>
      <c r="Q174">
        <v>1</v>
      </c>
      <c r="R174" t="s">
        <v>86</v>
      </c>
      <c r="S174" t="s">
        <v>87</v>
      </c>
      <c r="T174" t="s">
        <v>91</v>
      </c>
      <c r="U174" t="s">
        <v>114</v>
      </c>
      <c r="V174">
        <v>2024</v>
      </c>
      <c r="W174">
        <v>2024</v>
      </c>
      <c r="X174" t="s">
        <v>112</v>
      </c>
      <c r="Y174">
        <v>0</v>
      </c>
      <c r="Z174">
        <v>0</v>
      </c>
      <c r="AA174">
        <v>0</v>
      </c>
      <c r="AB174" t="s">
        <v>93</v>
      </c>
      <c r="AC174">
        <v>85</v>
      </c>
      <c r="AD174">
        <v>450414</v>
      </c>
      <c r="AE174" t="s">
        <v>113</v>
      </c>
      <c r="AF174">
        <v>3942.3</v>
      </c>
      <c r="AG174">
        <v>24782.1</v>
      </c>
      <c r="AH174">
        <v>0</v>
      </c>
      <c r="AI174">
        <v>300000</v>
      </c>
      <c r="AJ174">
        <v>0</v>
      </c>
      <c r="AK174">
        <v>300000</v>
      </c>
      <c r="AL174">
        <v>10000</v>
      </c>
      <c r="AM174">
        <v>10000</v>
      </c>
      <c r="AN174">
        <v>1126.3699999999999</v>
      </c>
      <c r="AO174">
        <v>0</v>
      </c>
      <c r="AP174">
        <v>281.58999999999997</v>
      </c>
      <c r="AQ174">
        <v>140.80000000000001</v>
      </c>
      <c r="AR174">
        <v>140.80000000000001</v>
      </c>
      <c r="AS174" t="s">
        <v>86</v>
      </c>
      <c r="AT174" t="s">
        <v>86</v>
      </c>
      <c r="AU174">
        <v>0</v>
      </c>
      <c r="AV174">
        <v>0</v>
      </c>
    </row>
    <row r="175" spans="1:48" x14ac:dyDescent="0.3">
      <c r="A175">
        <v>4188</v>
      </c>
      <c r="B175" t="s">
        <v>104</v>
      </c>
      <c r="C175" t="s">
        <v>580</v>
      </c>
      <c r="D175" t="s">
        <v>581</v>
      </c>
      <c r="E175" t="s">
        <v>105</v>
      </c>
      <c r="F175" t="s">
        <v>578</v>
      </c>
      <c r="G175" t="s">
        <v>579</v>
      </c>
      <c r="H175">
        <v>0</v>
      </c>
      <c r="I175">
        <v>0</v>
      </c>
      <c r="J175" t="s">
        <v>106</v>
      </c>
      <c r="K175" t="s">
        <v>106</v>
      </c>
      <c r="N175" s="9">
        <v>46139</v>
      </c>
      <c r="O175">
        <v>10151</v>
      </c>
      <c r="P175">
        <v>5</v>
      </c>
      <c r="Q175">
        <v>1</v>
      </c>
      <c r="R175" t="s">
        <v>86</v>
      </c>
      <c r="S175" t="s">
        <v>87</v>
      </c>
      <c r="T175" t="s">
        <v>89</v>
      </c>
      <c r="U175" t="s">
        <v>844</v>
      </c>
      <c r="V175">
        <v>2026</v>
      </c>
      <c r="W175">
        <v>2026</v>
      </c>
      <c r="X175" t="s">
        <v>107</v>
      </c>
      <c r="Y175">
        <v>0</v>
      </c>
      <c r="Z175">
        <v>0</v>
      </c>
      <c r="AA175">
        <v>0</v>
      </c>
      <c r="AB175" t="s">
        <v>88</v>
      </c>
      <c r="AC175">
        <v>85</v>
      </c>
      <c r="AD175">
        <v>84669</v>
      </c>
      <c r="AE175" t="s">
        <v>108</v>
      </c>
      <c r="AF175">
        <v>1825.9</v>
      </c>
      <c r="AG175">
        <v>5050.3500000000004</v>
      </c>
      <c r="AH175">
        <v>0</v>
      </c>
      <c r="AI175">
        <v>150000</v>
      </c>
      <c r="AJ175">
        <v>0</v>
      </c>
      <c r="AK175">
        <v>150000</v>
      </c>
      <c r="AL175">
        <v>10000</v>
      </c>
      <c r="AM175">
        <v>10000</v>
      </c>
      <c r="AN175">
        <v>521.69000000000005</v>
      </c>
      <c r="AO175">
        <v>0</v>
      </c>
      <c r="AP175">
        <v>130.41999999999999</v>
      </c>
      <c r="AQ175">
        <v>65.209999999999994</v>
      </c>
      <c r="AR175">
        <v>65.209999999999994</v>
      </c>
      <c r="AS175" t="s">
        <v>86</v>
      </c>
      <c r="AT175" t="s">
        <v>86</v>
      </c>
      <c r="AU175">
        <v>0</v>
      </c>
      <c r="AV175">
        <v>0</v>
      </c>
    </row>
    <row r="176" spans="1:48" x14ac:dyDescent="0.3">
      <c r="A176">
        <v>4190</v>
      </c>
      <c r="B176" t="s">
        <v>104</v>
      </c>
      <c r="C176" t="s">
        <v>582</v>
      </c>
      <c r="D176" t="s">
        <v>583</v>
      </c>
      <c r="E176" t="s">
        <v>105</v>
      </c>
      <c r="F176" t="s">
        <v>578</v>
      </c>
      <c r="G176" t="s">
        <v>579</v>
      </c>
      <c r="H176">
        <v>0</v>
      </c>
      <c r="I176">
        <v>0</v>
      </c>
      <c r="J176" t="s">
        <v>106</v>
      </c>
      <c r="K176" t="s">
        <v>106</v>
      </c>
      <c r="N176" s="9">
        <v>46139</v>
      </c>
      <c r="O176">
        <v>10151</v>
      </c>
      <c r="P176">
        <v>5</v>
      </c>
      <c r="Q176">
        <v>3</v>
      </c>
      <c r="R176" t="s">
        <v>86</v>
      </c>
      <c r="S176" t="s">
        <v>87</v>
      </c>
      <c r="T176" t="s">
        <v>89</v>
      </c>
      <c r="U176" t="s">
        <v>844</v>
      </c>
      <c r="V176">
        <v>2026</v>
      </c>
      <c r="W176">
        <v>2026</v>
      </c>
      <c r="X176" t="s">
        <v>107</v>
      </c>
      <c r="Y176">
        <v>0</v>
      </c>
      <c r="Z176">
        <v>0</v>
      </c>
      <c r="AA176">
        <v>0</v>
      </c>
      <c r="AB176" t="s">
        <v>88</v>
      </c>
      <c r="AC176">
        <v>85</v>
      </c>
      <c r="AD176">
        <v>84669</v>
      </c>
      <c r="AE176" t="s">
        <v>108</v>
      </c>
      <c r="AF176">
        <v>1825.9</v>
      </c>
      <c r="AG176">
        <v>5050.3500000000004</v>
      </c>
      <c r="AH176">
        <v>0</v>
      </c>
      <c r="AI176">
        <v>150000</v>
      </c>
      <c r="AJ176">
        <v>0</v>
      </c>
      <c r="AK176">
        <v>150000</v>
      </c>
      <c r="AL176">
        <v>10000</v>
      </c>
      <c r="AM176">
        <v>10000</v>
      </c>
      <c r="AN176">
        <v>521.69000000000005</v>
      </c>
      <c r="AO176">
        <v>0</v>
      </c>
      <c r="AP176">
        <v>130.41999999999999</v>
      </c>
      <c r="AQ176">
        <v>65.209999999999994</v>
      </c>
      <c r="AR176">
        <v>65.209999999999994</v>
      </c>
      <c r="AS176" t="s">
        <v>86</v>
      </c>
      <c r="AT176" t="s">
        <v>86</v>
      </c>
      <c r="AU176">
        <v>0</v>
      </c>
      <c r="AV176">
        <v>0</v>
      </c>
    </row>
    <row r="177" spans="1:48" x14ac:dyDescent="0.3">
      <c r="A177">
        <v>4187</v>
      </c>
      <c r="B177" t="s">
        <v>104</v>
      </c>
      <c r="C177" t="s">
        <v>586</v>
      </c>
      <c r="D177" t="s">
        <v>587</v>
      </c>
      <c r="E177" t="s">
        <v>138</v>
      </c>
      <c r="F177" t="s">
        <v>584</v>
      </c>
      <c r="G177" t="s">
        <v>585</v>
      </c>
      <c r="H177">
        <v>0</v>
      </c>
      <c r="I177">
        <v>0</v>
      </c>
      <c r="J177" t="s">
        <v>106</v>
      </c>
      <c r="K177" t="s">
        <v>106</v>
      </c>
      <c r="N177" s="9">
        <v>46139</v>
      </c>
      <c r="O177">
        <v>10661</v>
      </c>
      <c r="P177">
        <v>1</v>
      </c>
      <c r="Q177">
        <v>1</v>
      </c>
      <c r="R177" t="s">
        <v>86</v>
      </c>
      <c r="S177" t="s">
        <v>87</v>
      </c>
      <c r="T177" t="s">
        <v>91</v>
      </c>
      <c r="U177" t="s">
        <v>111</v>
      </c>
      <c r="V177">
        <v>2024</v>
      </c>
      <c r="W177">
        <v>2024</v>
      </c>
      <c r="X177" t="s">
        <v>112</v>
      </c>
      <c r="Y177">
        <v>0</v>
      </c>
      <c r="Z177">
        <v>0</v>
      </c>
      <c r="AA177">
        <v>0</v>
      </c>
      <c r="AB177" t="s">
        <v>93</v>
      </c>
      <c r="AC177">
        <v>85</v>
      </c>
      <c r="AD177">
        <v>450414</v>
      </c>
      <c r="AE177" t="s">
        <v>108</v>
      </c>
      <c r="AF177">
        <v>3870.96</v>
      </c>
      <c r="AG177">
        <v>24455.05</v>
      </c>
      <c r="AH177">
        <v>0</v>
      </c>
      <c r="AI177">
        <v>150000</v>
      </c>
      <c r="AJ177">
        <v>0</v>
      </c>
      <c r="AK177">
        <v>150000</v>
      </c>
      <c r="AL177">
        <v>10000</v>
      </c>
      <c r="AM177">
        <v>10000</v>
      </c>
      <c r="AN177">
        <v>1105.99</v>
      </c>
      <c r="AO177">
        <v>0</v>
      </c>
      <c r="AP177">
        <v>276.5</v>
      </c>
      <c r="AQ177">
        <v>138.25</v>
      </c>
      <c r="AR177">
        <v>138.25</v>
      </c>
      <c r="AS177" t="s">
        <v>86</v>
      </c>
      <c r="AT177" t="s">
        <v>86</v>
      </c>
      <c r="AU177">
        <v>0</v>
      </c>
      <c r="AV177">
        <v>0</v>
      </c>
    </row>
    <row r="178" spans="1:48" x14ac:dyDescent="0.3">
      <c r="A178">
        <v>4192</v>
      </c>
      <c r="B178" t="s">
        <v>104</v>
      </c>
      <c r="C178" t="s">
        <v>588</v>
      </c>
      <c r="D178" t="s">
        <v>589</v>
      </c>
      <c r="E178" t="s">
        <v>105</v>
      </c>
      <c r="F178" t="s">
        <v>578</v>
      </c>
      <c r="G178" t="s">
        <v>579</v>
      </c>
      <c r="H178">
        <v>0</v>
      </c>
      <c r="I178">
        <v>0</v>
      </c>
      <c r="J178" t="s">
        <v>106</v>
      </c>
      <c r="K178" t="s">
        <v>106</v>
      </c>
      <c r="N178" s="9">
        <v>46139</v>
      </c>
      <c r="O178">
        <v>10151</v>
      </c>
      <c r="P178">
        <v>5</v>
      </c>
      <c r="Q178">
        <v>5</v>
      </c>
      <c r="R178" t="s">
        <v>86</v>
      </c>
      <c r="S178" t="s">
        <v>87</v>
      </c>
      <c r="T178" t="s">
        <v>89</v>
      </c>
      <c r="U178" t="s">
        <v>844</v>
      </c>
      <c r="V178">
        <v>2026</v>
      </c>
      <c r="W178">
        <v>2026</v>
      </c>
      <c r="X178" t="s">
        <v>107</v>
      </c>
      <c r="Y178">
        <v>0</v>
      </c>
      <c r="Z178">
        <v>0</v>
      </c>
      <c r="AA178">
        <v>0</v>
      </c>
      <c r="AB178" t="s">
        <v>88</v>
      </c>
      <c r="AC178">
        <v>85</v>
      </c>
      <c r="AD178">
        <v>84669</v>
      </c>
      <c r="AE178" t="s">
        <v>108</v>
      </c>
      <c r="AF178">
        <v>1825.9</v>
      </c>
      <c r="AG178">
        <v>5050.3500000000004</v>
      </c>
      <c r="AH178">
        <v>0</v>
      </c>
      <c r="AI178">
        <v>150000</v>
      </c>
      <c r="AJ178">
        <v>0</v>
      </c>
      <c r="AK178">
        <v>150000</v>
      </c>
      <c r="AL178">
        <v>10000</v>
      </c>
      <c r="AM178">
        <v>10000</v>
      </c>
      <c r="AN178">
        <v>521.69000000000005</v>
      </c>
      <c r="AO178">
        <v>0</v>
      </c>
      <c r="AP178">
        <v>130.41999999999999</v>
      </c>
      <c r="AQ178">
        <v>65.209999999999994</v>
      </c>
      <c r="AR178">
        <v>65.209999999999994</v>
      </c>
      <c r="AS178" t="s">
        <v>86</v>
      </c>
      <c r="AT178" t="s">
        <v>86</v>
      </c>
      <c r="AU178">
        <v>0</v>
      </c>
      <c r="AV178">
        <v>0</v>
      </c>
    </row>
    <row r="179" spans="1:48" x14ac:dyDescent="0.3">
      <c r="A179">
        <v>4193</v>
      </c>
      <c r="B179" t="s">
        <v>104</v>
      </c>
      <c r="C179" t="s">
        <v>590</v>
      </c>
      <c r="D179" t="s">
        <v>591</v>
      </c>
      <c r="E179" t="s">
        <v>105</v>
      </c>
      <c r="F179" t="s">
        <v>578</v>
      </c>
      <c r="G179" t="s">
        <v>579</v>
      </c>
      <c r="H179">
        <v>0</v>
      </c>
      <c r="I179">
        <v>0</v>
      </c>
      <c r="J179" t="s">
        <v>106</v>
      </c>
      <c r="K179" t="s">
        <v>106</v>
      </c>
      <c r="N179" s="9">
        <v>46139</v>
      </c>
      <c r="O179">
        <v>10151</v>
      </c>
      <c r="P179">
        <v>4</v>
      </c>
      <c r="Q179">
        <v>1</v>
      </c>
      <c r="R179" t="s">
        <v>86</v>
      </c>
      <c r="S179" t="s">
        <v>87</v>
      </c>
      <c r="T179" t="s">
        <v>89</v>
      </c>
      <c r="U179" t="s">
        <v>844</v>
      </c>
      <c r="V179">
        <v>2026</v>
      </c>
      <c r="W179">
        <v>2026</v>
      </c>
      <c r="X179" t="s">
        <v>107</v>
      </c>
      <c r="Y179">
        <v>0</v>
      </c>
      <c r="Z179">
        <v>0</v>
      </c>
      <c r="AA179">
        <v>0</v>
      </c>
      <c r="AB179" t="s">
        <v>88</v>
      </c>
      <c r="AC179">
        <v>85</v>
      </c>
      <c r="AD179">
        <v>84669</v>
      </c>
      <c r="AE179" t="s">
        <v>108</v>
      </c>
      <c r="AF179">
        <v>1825.9</v>
      </c>
      <c r="AG179">
        <v>5050.3500000000004</v>
      </c>
      <c r="AH179">
        <v>0</v>
      </c>
      <c r="AI179">
        <v>150000</v>
      </c>
      <c r="AJ179">
        <v>0</v>
      </c>
      <c r="AK179">
        <v>150000</v>
      </c>
      <c r="AL179">
        <v>10000</v>
      </c>
      <c r="AM179">
        <v>10000</v>
      </c>
      <c r="AN179">
        <v>521.69000000000005</v>
      </c>
      <c r="AO179">
        <v>0</v>
      </c>
      <c r="AP179">
        <v>130.41999999999999</v>
      </c>
      <c r="AQ179">
        <v>65.209999999999994</v>
      </c>
      <c r="AR179">
        <v>65.209999999999994</v>
      </c>
      <c r="AS179" t="s">
        <v>86</v>
      </c>
      <c r="AT179" t="s">
        <v>86</v>
      </c>
      <c r="AU179">
        <v>0</v>
      </c>
      <c r="AV179">
        <v>0</v>
      </c>
    </row>
    <row r="180" spans="1:48" x14ac:dyDescent="0.3">
      <c r="A180">
        <v>4196</v>
      </c>
      <c r="B180" t="s">
        <v>104</v>
      </c>
      <c r="C180" t="s">
        <v>592</v>
      </c>
      <c r="D180" t="s">
        <v>593</v>
      </c>
      <c r="E180" t="s">
        <v>105</v>
      </c>
      <c r="F180" t="s">
        <v>578</v>
      </c>
      <c r="G180" t="s">
        <v>579</v>
      </c>
      <c r="H180">
        <v>0</v>
      </c>
      <c r="I180">
        <v>0</v>
      </c>
      <c r="J180" t="s">
        <v>106</v>
      </c>
      <c r="K180" t="s">
        <v>106</v>
      </c>
      <c r="N180" s="9">
        <v>46139</v>
      </c>
      <c r="O180">
        <v>10151</v>
      </c>
      <c r="P180">
        <v>4</v>
      </c>
      <c r="Q180">
        <v>4</v>
      </c>
      <c r="R180" t="s">
        <v>86</v>
      </c>
      <c r="S180" t="s">
        <v>87</v>
      </c>
      <c r="T180" t="s">
        <v>89</v>
      </c>
      <c r="U180" t="s">
        <v>844</v>
      </c>
      <c r="V180">
        <v>2026</v>
      </c>
      <c r="W180">
        <v>2026</v>
      </c>
      <c r="X180" t="s">
        <v>107</v>
      </c>
      <c r="Y180">
        <v>0</v>
      </c>
      <c r="Z180">
        <v>0</v>
      </c>
      <c r="AA180">
        <v>0</v>
      </c>
      <c r="AB180" t="s">
        <v>88</v>
      </c>
      <c r="AC180">
        <v>85</v>
      </c>
      <c r="AD180">
        <v>84669</v>
      </c>
      <c r="AE180" t="s">
        <v>108</v>
      </c>
      <c r="AF180">
        <v>1825.9</v>
      </c>
      <c r="AG180">
        <v>5050.3500000000004</v>
      </c>
      <c r="AH180">
        <v>0</v>
      </c>
      <c r="AI180">
        <v>150000</v>
      </c>
      <c r="AJ180">
        <v>0</v>
      </c>
      <c r="AK180">
        <v>150000</v>
      </c>
      <c r="AL180">
        <v>10000</v>
      </c>
      <c r="AM180">
        <v>10000</v>
      </c>
      <c r="AN180">
        <v>521.69000000000005</v>
      </c>
      <c r="AO180">
        <v>0</v>
      </c>
      <c r="AP180">
        <v>130.41999999999999</v>
      </c>
      <c r="AQ180">
        <v>65.209999999999994</v>
      </c>
      <c r="AR180">
        <v>65.209999999999994</v>
      </c>
      <c r="AS180" t="s">
        <v>86</v>
      </c>
      <c r="AT180" t="s">
        <v>86</v>
      </c>
      <c r="AU180">
        <v>0</v>
      </c>
      <c r="AV180">
        <v>0</v>
      </c>
    </row>
    <row r="181" spans="1:48" x14ac:dyDescent="0.3">
      <c r="A181">
        <v>4197</v>
      </c>
      <c r="B181" t="s">
        <v>104</v>
      </c>
      <c r="C181" t="s">
        <v>594</v>
      </c>
      <c r="D181" t="s">
        <v>595</v>
      </c>
      <c r="E181" t="s">
        <v>105</v>
      </c>
      <c r="F181" t="s">
        <v>149</v>
      </c>
      <c r="G181" t="s">
        <v>150</v>
      </c>
      <c r="H181">
        <v>0</v>
      </c>
      <c r="I181">
        <v>0</v>
      </c>
      <c r="J181" t="s">
        <v>106</v>
      </c>
      <c r="K181" t="s">
        <v>106</v>
      </c>
      <c r="N181" s="9">
        <v>46139</v>
      </c>
      <c r="O181">
        <v>10681</v>
      </c>
      <c r="P181">
        <v>1</v>
      </c>
      <c r="Q181">
        <v>26</v>
      </c>
      <c r="R181" t="s">
        <v>86</v>
      </c>
      <c r="S181" t="s">
        <v>87</v>
      </c>
      <c r="T181" t="s">
        <v>89</v>
      </c>
      <c r="U181" t="s">
        <v>839</v>
      </c>
      <c r="V181">
        <v>2026</v>
      </c>
      <c r="W181">
        <v>2026</v>
      </c>
      <c r="X181" t="s">
        <v>107</v>
      </c>
      <c r="Y181">
        <v>0</v>
      </c>
      <c r="Z181">
        <v>0</v>
      </c>
      <c r="AA181">
        <v>0</v>
      </c>
      <c r="AB181" t="s">
        <v>88</v>
      </c>
      <c r="AC181">
        <v>85</v>
      </c>
      <c r="AD181">
        <v>84669</v>
      </c>
      <c r="AE181" t="s">
        <v>108</v>
      </c>
      <c r="AF181">
        <v>1825.9</v>
      </c>
      <c r="AG181">
        <v>5050.3500000000004</v>
      </c>
      <c r="AH181">
        <v>0</v>
      </c>
      <c r="AI181">
        <v>150000</v>
      </c>
      <c r="AJ181">
        <v>0</v>
      </c>
      <c r="AK181">
        <v>150000</v>
      </c>
      <c r="AL181">
        <v>10000</v>
      </c>
      <c r="AM181">
        <v>10000</v>
      </c>
      <c r="AN181">
        <v>521.69000000000005</v>
      </c>
      <c r="AO181">
        <v>0</v>
      </c>
      <c r="AP181">
        <v>130.41999999999999</v>
      </c>
      <c r="AQ181">
        <v>65.209999999999994</v>
      </c>
      <c r="AR181">
        <v>65.209999999999994</v>
      </c>
      <c r="AS181" t="s">
        <v>86</v>
      </c>
      <c r="AT181" t="s">
        <v>86</v>
      </c>
      <c r="AU181">
        <v>0</v>
      </c>
      <c r="AV181">
        <v>0</v>
      </c>
    </row>
    <row r="182" spans="1:48" x14ac:dyDescent="0.3">
      <c r="A182">
        <v>4201</v>
      </c>
      <c r="B182" t="s">
        <v>104</v>
      </c>
      <c r="C182" t="s">
        <v>596</v>
      </c>
      <c r="D182" t="s">
        <v>597</v>
      </c>
      <c r="E182" t="s">
        <v>105</v>
      </c>
      <c r="F182" t="s">
        <v>470</v>
      </c>
      <c r="G182" t="s">
        <v>471</v>
      </c>
      <c r="H182">
        <v>0</v>
      </c>
      <c r="I182">
        <v>0</v>
      </c>
      <c r="J182" t="s">
        <v>106</v>
      </c>
      <c r="K182" t="s">
        <v>106</v>
      </c>
      <c r="N182" s="9">
        <v>46139</v>
      </c>
      <c r="O182">
        <v>10698</v>
      </c>
      <c r="P182">
        <v>1</v>
      </c>
      <c r="Q182">
        <v>34</v>
      </c>
      <c r="R182" t="s">
        <v>86</v>
      </c>
      <c r="S182" t="s">
        <v>87</v>
      </c>
      <c r="T182" t="s">
        <v>89</v>
      </c>
      <c r="U182" t="s">
        <v>844</v>
      </c>
      <c r="V182">
        <v>2026</v>
      </c>
      <c r="W182">
        <v>2026</v>
      </c>
      <c r="X182" t="s">
        <v>107</v>
      </c>
      <c r="Y182">
        <v>0</v>
      </c>
      <c r="Z182">
        <v>0</v>
      </c>
      <c r="AA182">
        <v>0</v>
      </c>
      <c r="AB182" t="s">
        <v>88</v>
      </c>
      <c r="AC182">
        <v>85</v>
      </c>
      <c r="AD182">
        <v>84669</v>
      </c>
      <c r="AE182" t="s">
        <v>108</v>
      </c>
      <c r="AF182">
        <v>1825.9</v>
      </c>
      <c r="AG182">
        <v>5050.3500000000004</v>
      </c>
      <c r="AH182">
        <v>0</v>
      </c>
      <c r="AI182">
        <v>150000</v>
      </c>
      <c r="AJ182">
        <v>0</v>
      </c>
      <c r="AK182">
        <v>150000</v>
      </c>
      <c r="AL182">
        <v>10000</v>
      </c>
      <c r="AM182">
        <v>10000</v>
      </c>
      <c r="AN182">
        <v>521.69000000000005</v>
      </c>
      <c r="AO182">
        <v>0</v>
      </c>
      <c r="AP182">
        <v>130.41999999999999</v>
      </c>
      <c r="AQ182">
        <v>65.209999999999994</v>
      </c>
      <c r="AR182">
        <v>65.209999999999994</v>
      </c>
      <c r="AS182" t="s">
        <v>86</v>
      </c>
      <c r="AT182" t="s">
        <v>86</v>
      </c>
      <c r="AU182">
        <v>0</v>
      </c>
      <c r="AV182">
        <v>0</v>
      </c>
    </row>
    <row r="183" spans="1:48" x14ac:dyDescent="0.3">
      <c r="A183">
        <v>4202</v>
      </c>
      <c r="B183" t="s">
        <v>104</v>
      </c>
      <c r="C183" t="s">
        <v>598</v>
      </c>
      <c r="D183" t="s">
        <v>599</v>
      </c>
      <c r="E183" t="s">
        <v>105</v>
      </c>
      <c r="F183" t="s">
        <v>470</v>
      </c>
      <c r="G183" t="s">
        <v>471</v>
      </c>
      <c r="H183">
        <v>0</v>
      </c>
      <c r="I183">
        <v>0</v>
      </c>
      <c r="J183" t="s">
        <v>106</v>
      </c>
      <c r="K183" t="s">
        <v>106</v>
      </c>
      <c r="N183" s="9">
        <v>46139</v>
      </c>
      <c r="O183">
        <v>10698</v>
      </c>
      <c r="P183">
        <v>1</v>
      </c>
      <c r="Q183">
        <v>35</v>
      </c>
      <c r="R183" t="s">
        <v>86</v>
      </c>
      <c r="S183" t="s">
        <v>87</v>
      </c>
      <c r="T183" t="s">
        <v>89</v>
      </c>
      <c r="U183" t="s">
        <v>844</v>
      </c>
      <c r="V183">
        <v>2026</v>
      </c>
      <c r="W183">
        <v>2026</v>
      </c>
      <c r="X183" t="s">
        <v>107</v>
      </c>
      <c r="Y183">
        <v>0</v>
      </c>
      <c r="Z183">
        <v>0</v>
      </c>
      <c r="AA183">
        <v>0</v>
      </c>
      <c r="AB183" t="s">
        <v>88</v>
      </c>
      <c r="AC183">
        <v>85</v>
      </c>
      <c r="AD183">
        <v>84669</v>
      </c>
      <c r="AE183" t="s">
        <v>108</v>
      </c>
      <c r="AF183">
        <v>1825.9</v>
      </c>
      <c r="AG183">
        <v>5050.3500000000004</v>
      </c>
      <c r="AH183">
        <v>0</v>
      </c>
      <c r="AI183">
        <v>150000</v>
      </c>
      <c r="AJ183">
        <v>0</v>
      </c>
      <c r="AK183">
        <v>150000</v>
      </c>
      <c r="AL183">
        <v>10000</v>
      </c>
      <c r="AM183">
        <v>10000</v>
      </c>
      <c r="AN183">
        <v>521.69000000000005</v>
      </c>
      <c r="AO183">
        <v>0</v>
      </c>
      <c r="AP183">
        <v>130.41999999999999</v>
      </c>
      <c r="AQ183">
        <v>65.209999999999994</v>
      </c>
      <c r="AR183">
        <v>65.209999999999994</v>
      </c>
      <c r="AS183" t="s">
        <v>86</v>
      </c>
      <c r="AT183" t="s">
        <v>86</v>
      </c>
      <c r="AU183">
        <v>0</v>
      </c>
      <c r="AV183">
        <v>0</v>
      </c>
    </row>
    <row r="184" spans="1:48" x14ac:dyDescent="0.3">
      <c r="A184">
        <v>4203</v>
      </c>
      <c r="B184" t="s">
        <v>104</v>
      </c>
      <c r="C184" t="s">
        <v>602</v>
      </c>
      <c r="D184" t="s">
        <v>603</v>
      </c>
      <c r="E184" t="s">
        <v>105</v>
      </c>
      <c r="F184" t="s">
        <v>600</v>
      </c>
      <c r="G184" t="s">
        <v>601</v>
      </c>
      <c r="H184">
        <v>0</v>
      </c>
      <c r="I184">
        <v>0</v>
      </c>
      <c r="J184" t="s">
        <v>106</v>
      </c>
      <c r="K184" t="s">
        <v>106</v>
      </c>
      <c r="N184" s="9">
        <v>46139</v>
      </c>
      <c r="O184">
        <v>10762</v>
      </c>
      <c r="P184">
        <v>1</v>
      </c>
      <c r="Q184">
        <v>1</v>
      </c>
      <c r="R184" t="s">
        <v>86</v>
      </c>
      <c r="S184" t="s">
        <v>87</v>
      </c>
      <c r="T184" t="s">
        <v>123</v>
      </c>
      <c r="U184" t="s">
        <v>846</v>
      </c>
      <c r="V184">
        <v>2025</v>
      </c>
      <c r="W184">
        <v>2025</v>
      </c>
      <c r="X184" t="s">
        <v>112</v>
      </c>
      <c r="Y184">
        <v>0</v>
      </c>
      <c r="Z184">
        <v>0</v>
      </c>
      <c r="AA184">
        <v>0</v>
      </c>
      <c r="AB184" t="s">
        <v>125</v>
      </c>
      <c r="AC184">
        <v>85</v>
      </c>
      <c r="AD184">
        <v>431520</v>
      </c>
      <c r="AE184" t="s">
        <v>113</v>
      </c>
      <c r="AF184">
        <v>2778.5</v>
      </c>
      <c r="AG184">
        <v>17466.150000000001</v>
      </c>
      <c r="AH184">
        <v>0</v>
      </c>
      <c r="AI184">
        <v>300000</v>
      </c>
      <c r="AJ184">
        <v>0</v>
      </c>
      <c r="AK184">
        <v>300000</v>
      </c>
      <c r="AL184">
        <v>10000</v>
      </c>
      <c r="AM184">
        <v>10000</v>
      </c>
      <c r="AN184">
        <v>793.86</v>
      </c>
      <c r="AO184">
        <v>0</v>
      </c>
      <c r="AP184">
        <v>198.46</v>
      </c>
      <c r="AQ184">
        <v>99.23</v>
      </c>
      <c r="AR184">
        <v>99.23</v>
      </c>
      <c r="AS184" t="s">
        <v>86</v>
      </c>
      <c r="AT184" t="s">
        <v>86</v>
      </c>
      <c r="AU184">
        <v>0</v>
      </c>
      <c r="AV184">
        <v>0</v>
      </c>
    </row>
    <row r="185" spans="1:48" x14ac:dyDescent="0.3">
      <c r="A185">
        <v>4204</v>
      </c>
      <c r="B185" t="s">
        <v>104</v>
      </c>
      <c r="C185" t="s">
        <v>604</v>
      </c>
      <c r="D185" t="s">
        <v>605</v>
      </c>
      <c r="E185" t="s">
        <v>105</v>
      </c>
      <c r="F185" t="s">
        <v>416</v>
      </c>
      <c r="G185" t="s">
        <v>417</v>
      </c>
      <c r="H185">
        <v>0</v>
      </c>
      <c r="I185">
        <v>0</v>
      </c>
      <c r="J185" t="s">
        <v>106</v>
      </c>
      <c r="K185" t="s">
        <v>106</v>
      </c>
      <c r="N185" s="9">
        <v>46139</v>
      </c>
      <c r="O185">
        <v>10669</v>
      </c>
      <c r="P185">
        <v>1</v>
      </c>
      <c r="Q185">
        <v>11</v>
      </c>
      <c r="R185" t="s">
        <v>86</v>
      </c>
      <c r="S185" t="s">
        <v>87</v>
      </c>
      <c r="T185" t="s">
        <v>89</v>
      </c>
      <c r="U185" t="s">
        <v>839</v>
      </c>
      <c r="V185">
        <v>2026</v>
      </c>
      <c r="W185">
        <v>2026</v>
      </c>
      <c r="X185" t="s">
        <v>107</v>
      </c>
      <c r="Y185">
        <v>0</v>
      </c>
      <c r="Z185">
        <v>0</v>
      </c>
      <c r="AA185">
        <v>0</v>
      </c>
      <c r="AB185" t="s">
        <v>88</v>
      </c>
      <c r="AC185">
        <v>85</v>
      </c>
      <c r="AD185">
        <v>84669</v>
      </c>
      <c r="AE185" t="s">
        <v>108</v>
      </c>
      <c r="AF185">
        <v>1825.9</v>
      </c>
      <c r="AG185">
        <v>5050.3500000000004</v>
      </c>
      <c r="AH185">
        <v>0</v>
      </c>
      <c r="AI185">
        <v>150000</v>
      </c>
      <c r="AJ185">
        <v>0</v>
      </c>
      <c r="AK185">
        <v>150000</v>
      </c>
      <c r="AL185">
        <v>10000</v>
      </c>
      <c r="AM185">
        <v>10000</v>
      </c>
      <c r="AN185">
        <v>521.69000000000005</v>
      </c>
      <c r="AO185">
        <v>0</v>
      </c>
      <c r="AP185">
        <v>130.41999999999999</v>
      </c>
      <c r="AQ185">
        <v>65.209999999999994</v>
      </c>
      <c r="AR185">
        <v>65.209999999999994</v>
      </c>
      <c r="AS185" t="s">
        <v>86</v>
      </c>
      <c r="AT185" t="s">
        <v>86</v>
      </c>
      <c r="AU185">
        <v>0</v>
      </c>
      <c r="AV185">
        <v>0</v>
      </c>
    </row>
    <row r="186" spans="1:48" x14ac:dyDescent="0.3">
      <c r="A186">
        <v>4205</v>
      </c>
      <c r="B186" t="s">
        <v>104</v>
      </c>
      <c r="C186" t="s">
        <v>608</v>
      </c>
      <c r="D186" t="s">
        <v>609</v>
      </c>
      <c r="E186" t="s">
        <v>138</v>
      </c>
      <c r="F186" t="s">
        <v>606</v>
      </c>
      <c r="G186" t="s">
        <v>607</v>
      </c>
      <c r="H186">
        <v>0</v>
      </c>
      <c r="I186">
        <v>0</v>
      </c>
      <c r="J186" t="s">
        <v>106</v>
      </c>
      <c r="K186" t="s">
        <v>106</v>
      </c>
      <c r="N186" s="9">
        <v>46139</v>
      </c>
      <c r="O186">
        <v>10621</v>
      </c>
      <c r="P186">
        <v>1</v>
      </c>
      <c r="Q186">
        <v>1</v>
      </c>
      <c r="R186" t="s">
        <v>86</v>
      </c>
      <c r="S186" t="s">
        <v>87</v>
      </c>
      <c r="T186" t="s">
        <v>134</v>
      </c>
      <c r="U186" t="s">
        <v>847</v>
      </c>
      <c r="V186">
        <v>2026</v>
      </c>
      <c r="W186">
        <v>2026</v>
      </c>
      <c r="X186" t="s">
        <v>107</v>
      </c>
      <c r="Y186">
        <v>0</v>
      </c>
      <c r="Z186">
        <v>0</v>
      </c>
      <c r="AA186">
        <v>0</v>
      </c>
      <c r="AB186" t="s">
        <v>135</v>
      </c>
      <c r="AC186">
        <v>85</v>
      </c>
      <c r="AD186">
        <v>133163</v>
      </c>
      <c r="AE186" t="s">
        <v>113</v>
      </c>
      <c r="AF186">
        <v>2258.4499999999998</v>
      </c>
      <c r="AG186">
        <v>7815.65</v>
      </c>
      <c r="AH186">
        <v>0</v>
      </c>
      <c r="AI186">
        <v>300000</v>
      </c>
      <c r="AJ186">
        <v>0</v>
      </c>
      <c r="AK186">
        <v>300000</v>
      </c>
      <c r="AL186">
        <v>10000</v>
      </c>
      <c r="AM186">
        <v>10000</v>
      </c>
      <c r="AN186">
        <v>645.27</v>
      </c>
      <c r="AO186">
        <v>0</v>
      </c>
      <c r="AP186">
        <v>161.32</v>
      </c>
      <c r="AQ186">
        <v>80.66</v>
      </c>
      <c r="AR186">
        <v>80.66</v>
      </c>
      <c r="AS186" t="s">
        <v>86</v>
      </c>
      <c r="AT186" t="s">
        <v>86</v>
      </c>
      <c r="AU186">
        <v>0</v>
      </c>
      <c r="AV186">
        <v>0</v>
      </c>
    </row>
    <row r="187" spans="1:48" x14ac:dyDescent="0.3">
      <c r="A187">
        <v>4206</v>
      </c>
      <c r="B187" t="s">
        <v>104</v>
      </c>
      <c r="C187" t="s">
        <v>612</v>
      </c>
      <c r="D187" t="s">
        <v>613</v>
      </c>
      <c r="E187" t="s">
        <v>105</v>
      </c>
      <c r="F187" t="s">
        <v>610</v>
      </c>
      <c r="G187" t="s">
        <v>611</v>
      </c>
      <c r="H187">
        <v>0</v>
      </c>
      <c r="I187">
        <v>0</v>
      </c>
      <c r="J187" t="s">
        <v>106</v>
      </c>
      <c r="K187" t="s">
        <v>106</v>
      </c>
      <c r="N187" s="9">
        <v>46139</v>
      </c>
      <c r="O187">
        <v>10693</v>
      </c>
      <c r="P187">
        <v>1</v>
      </c>
      <c r="Q187">
        <v>1</v>
      </c>
      <c r="R187" t="s">
        <v>86</v>
      </c>
      <c r="S187" t="s">
        <v>87</v>
      </c>
      <c r="T187" t="s">
        <v>89</v>
      </c>
      <c r="U187" t="s">
        <v>839</v>
      </c>
      <c r="V187">
        <v>2026</v>
      </c>
      <c r="W187">
        <v>2026</v>
      </c>
      <c r="X187" t="s">
        <v>107</v>
      </c>
      <c r="Y187">
        <v>0</v>
      </c>
      <c r="Z187">
        <v>0</v>
      </c>
      <c r="AA187">
        <v>0</v>
      </c>
      <c r="AB187" t="s">
        <v>88</v>
      </c>
      <c r="AC187">
        <v>85</v>
      </c>
      <c r="AD187">
        <v>84669</v>
      </c>
      <c r="AE187" t="s">
        <v>108</v>
      </c>
      <c r="AF187">
        <v>1825.9</v>
      </c>
      <c r="AG187">
        <v>5050.3500000000004</v>
      </c>
      <c r="AH187">
        <v>0</v>
      </c>
      <c r="AI187">
        <v>150000</v>
      </c>
      <c r="AJ187">
        <v>0</v>
      </c>
      <c r="AK187">
        <v>150000</v>
      </c>
      <c r="AL187">
        <v>10000</v>
      </c>
      <c r="AM187">
        <v>10000</v>
      </c>
      <c r="AN187">
        <v>521.69000000000005</v>
      </c>
      <c r="AO187">
        <v>0</v>
      </c>
      <c r="AP187">
        <v>130.41999999999999</v>
      </c>
      <c r="AQ187">
        <v>65.209999999999994</v>
      </c>
      <c r="AR187">
        <v>65.209999999999994</v>
      </c>
      <c r="AS187" t="s">
        <v>86</v>
      </c>
      <c r="AT187" t="s">
        <v>86</v>
      </c>
      <c r="AU187">
        <v>0</v>
      </c>
      <c r="AV187">
        <v>0</v>
      </c>
    </row>
    <row r="188" spans="1:48" x14ac:dyDescent="0.3">
      <c r="A188">
        <v>4207</v>
      </c>
      <c r="B188" t="s">
        <v>104</v>
      </c>
      <c r="C188" t="s">
        <v>614</v>
      </c>
      <c r="D188" t="s">
        <v>615</v>
      </c>
      <c r="E188" t="s">
        <v>105</v>
      </c>
      <c r="F188" t="s">
        <v>610</v>
      </c>
      <c r="G188" t="s">
        <v>611</v>
      </c>
      <c r="H188">
        <v>0</v>
      </c>
      <c r="I188">
        <v>0</v>
      </c>
      <c r="J188" t="s">
        <v>106</v>
      </c>
      <c r="K188" t="s">
        <v>106</v>
      </c>
      <c r="N188" s="9">
        <v>46139</v>
      </c>
      <c r="O188">
        <v>10693</v>
      </c>
      <c r="P188">
        <v>1</v>
      </c>
      <c r="Q188">
        <v>2</v>
      </c>
      <c r="R188" t="s">
        <v>86</v>
      </c>
      <c r="S188" t="s">
        <v>87</v>
      </c>
      <c r="T188" t="s">
        <v>89</v>
      </c>
      <c r="U188" t="s">
        <v>839</v>
      </c>
      <c r="V188">
        <v>2026</v>
      </c>
      <c r="W188">
        <v>2026</v>
      </c>
      <c r="X188" t="s">
        <v>107</v>
      </c>
      <c r="Y188">
        <v>0</v>
      </c>
      <c r="Z188">
        <v>0</v>
      </c>
      <c r="AA188">
        <v>0</v>
      </c>
      <c r="AB188" t="s">
        <v>88</v>
      </c>
      <c r="AC188">
        <v>85</v>
      </c>
      <c r="AD188">
        <v>84669</v>
      </c>
      <c r="AE188" t="s">
        <v>108</v>
      </c>
      <c r="AF188">
        <v>1825.9</v>
      </c>
      <c r="AG188">
        <v>5050.3500000000004</v>
      </c>
      <c r="AH188">
        <v>0</v>
      </c>
      <c r="AI188">
        <v>150000</v>
      </c>
      <c r="AJ188">
        <v>0</v>
      </c>
      <c r="AK188">
        <v>150000</v>
      </c>
      <c r="AL188">
        <v>10000</v>
      </c>
      <c r="AM188">
        <v>10000</v>
      </c>
      <c r="AN188">
        <v>521.69000000000005</v>
      </c>
      <c r="AO188">
        <v>0</v>
      </c>
      <c r="AP188">
        <v>130.41999999999999</v>
      </c>
      <c r="AQ188">
        <v>65.209999999999994</v>
      </c>
      <c r="AR188">
        <v>65.209999999999994</v>
      </c>
      <c r="AS188" t="s">
        <v>86</v>
      </c>
      <c r="AT188" t="s">
        <v>86</v>
      </c>
      <c r="AU188">
        <v>0</v>
      </c>
      <c r="AV188">
        <v>0</v>
      </c>
    </row>
    <row r="189" spans="1:48" x14ac:dyDescent="0.3">
      <c r="A189">
        <v>4208</v>
      </c>
      <c r="B189" t="s">
        <v>104</v>
      </c>
      <c r="C189" t="s">
        <v>616</v>
      </c>
      <c r="D189" t="s">
        <v>617</v>
      </c>
      <c r="E189" t="s">
        <v>105</v>
      </c>
      <c r="F189" t="s">
        <v>610</v>
      </c>
      <c r="G189" t="s">
        <v>611</v>
      </c>
      <c r="H189">
        <v>0</v>
      </c>
      <c r="I189">
        <v>0</v>
      </c>
      <c r="J189" t="s">
        <v>106</v>
      </c>
      <c r="K189" t="s">
        <v>106</v>
      </c>
      <c r="N189" s="9">
        <v>46139</v>
      </c>
      <c r="O189">
        <v>10693</v>
      </c>
      <c r="P189">
        <v>1</v>
      </c>
      <c r="Q189">
        <v>3</v>
      </c>
      <c r="R189" t="s">
        <v>86</v>
      </c>
      <c r="S189" t="s">
        <v>87</v>
      </c>
      <c r="T189" t="s">
        <v>89</v>
      </c>
      <c r="U189" t="s">
        <v>839</v>
      </c>
      <c r="V189">
        <v>2026</v>
      </c>
      <c r="W189">
        <v>2026</v>
      </c>
      <c r="X189" t="s">
        <v>107</v>
      </c>
      <c r="Y189">
        <v>0</v>
      </c>
      <c r="Z189">
        <v>0</v>
      </c>
      <c r="AA189">
        <v>0</v>
      </c>
      <c r="AB189" t="s">
        <v>88</v>
      </c>
      <c r="AC189">
        <v>85</v>
      </c>
      <c r="AD189">
        <v>84669</v>
      </c>
      <c r="AE189" t="s">
        <v>108</v>
      </c>
      <c r="AF189">
        <v>1825.9</v>
      </c>
      <c r="AG189">
        <v>5050.3500000000004</v>
      </c>
      <c r="AH189">
        <v>0</v>
      </c>
      <c r="AI189">
        <v>150000</v>
      </c>
      <c r="AJ189">
        <v>0</v>
      </c>
      <c r="AK189">
        <v>150000</v>
      </c>
      <c r="AL189">
        <v>10000</v>
      </c>
      <c r="AM189">
        <v>10000</v>
      </c>
      <c r="AN189">
        <v>521.69000000000005</v>
      </c>
      <c r="AO189">
        <v>0</v>
      </c>
      <c r="AP189">
        <v>130.41999999999999</v>
      </c>
      <c r="AQ189">
        <v>65.209999999999994</v>
      </c>
      <c r="AR189">
        <v>65.209999999999994</v>
      </c>
      <c r="AS189" t="s">
        <v>86</v>
      </c>
      <c r="AT189" t="s">
        <v>86</v>
      </c>
      <c r="AU189">
        <v>0</v>
      </c>
      <c r="AV189">
        <v>0</v>
      </c>
    </row>
    <row r="190" spans="1:48" x14ac:dyDescent="0.3">
      <c r="A190">
        <v>4209</v>
      </c>
      <c r="B190" t="s">
        <v>104</v>
      </c>
      <c r="C190" t="s">
        <v>618</v>
      </c>
      <c r="D190" t="s">
        <v>619</v>
      </c>
      <c r="E190" t="s">
        <v>105</v>
      </c>
      <c r="F190" t="s">
        <v>610</v>
      </c>
      <c r="G190" t="s">
        <v>611</v>
      </c>
      <c r="H190">
        <v>0</v>
      </c>
      <c r="I190">
        <v>0</v>
      </c>
      <c r="J190" t="s">
        <v>106</v>
      </c>
      <c r="K190" t="s">
        <v>106</v>
      </c>
      <c r="N190" s="9">
        <v>46139</v>
      </c>
      <c r="O190">
        <v>10693</v>
      </c>
      <c r="P190">
        <v>1</v>
      </c>
      <c r="Q190">
        <v>4</v>
      </c>
      <c r="R190" t="s">
        <v>86</v>
      </c>
      <c r="S190" t="s">
        <v>87</v>
      </c>
      <c r="T190" t="s">
        <v>89</v>
      </c>
      <c r="U190" t="s">
        <v>839</v>
      </c>
      <c r="V190">
        <v>2026</v>
      </c>
      <c r="W190">
        <v>2026</v>
      </c>
      <c r="X190" t="s">
        <v>107</v>
      </c>
      <c r="Y190">
        <v>0</v>
      </c>
      <c r="Z190">
        <v>0</v>
      </c>
      <c r="AA190">
        <v>0</v>
      </c>
      <c r="AB190" t="s">
        <v>88</v>
      </c>
      <c r="AC190">
        <v>85</v>
      </c>
      <c r="AD190">
        <v>84669</v>
      </c>
      <c r="AE190" t="s">
        <v>108</v>
      </c>
      <c r="AF190">
        <v>1825.9</v>
      </c>
      <c r="AG190">
        <v>5050.3500000000004</v>
      </c>
      <c r="AH190">
        <v>0</v>
      </c>
      <c r="AI190">
        <v>150000</v>
      </c>
      <c r="AJ190">
        <v>0</v>
      </c>
      <c r="AK190">
        <v>150000</v>
      </c>
      <c r="AL190">
        <v>10000</v>
      </c>
      <c r="AM190">
        <v>10000</v>
      </c>
      <c r="AN190">
        <v>521.69000000000005</v>
      </c>
      <c r="AO190">
        <v>0</v>
      </c>
      <c r="AP190">
        <v>130.41999999999999</v>
      </c>
      <c r="AQ190">
        <v>65.209999999999994</v>
      </c>
      <c r="AR190">
        <v>65.209999999999994</v>
      </c>
      <c r="AS190" t="s">
        <v>86</v>
      </c>
      <c r="AT190" t="s">
        <v>86</v>
      </c>
      <c r="AU190">
        <v>0</v>
      </c>
      <c r="AV190">
        <v>0</v>
      </c>
    </row>
    <row r="191" spans="1:48" x14ac:dyDescent="0.3">
      <c r="A191">
        <v>4210</v>
      </c>
      <c r="B191" t="s">
        <v>104</v>
      </c>
      <c r="C191" t="s">
        <v>620</v>
      </c>
      <c r="D191" t="s">
        <v>621</v>
      </c>
      <c r="E191" t="s">
        <v>105</v>
      </c>
      <c r="F191" t="s">
        <v>610</v>
      </c>
      <c r="G191" t="s">
        <v>611</v>
      </c>
      <c r="H191">
        <v>0</v>
      </c>
      <c r="I191">
        <v>0</v>
      </c>
      <c r="J191" t="s">
        <v>106</v>
      </c>
      <c r="K191" t="s">
        <v>106</v>
      </c>
      <c r="N191" s="9">
        <v>46139</v>
      </c>
      <c r="O191">
        <v>10693</v>
      </c>
      <c r="P191">
        <v>1</v>
      </c>
      <c r="Q191">
        <v>5</v>
      </c>
      <c r="R191" t="s">
        <v>86</v>
      </c>
      <c r="S191" t="s">
        <v>87</v>
      </c>
      <c r="T191" t="s">
        <v>89</v>
      </c>
      <c r="U191" t="s">
        <v>839</v>
      </c>
      <c r="V191">
        <v>2026</v>
      </c>
      <c r="W191">
        <v>2026</v>
      </c>
      <c r="X191" t="s">
        <v>107</v>
      </c>
      <c r="Y191">
        <v>0</v>
      </c>
      <c r="Z191">
        <v>0</v>
      </c>
      <c r="AA191">
        <v>0</v>
      </c>
      <c r="AB191" t="s">
        <v>88</v>
      </c>
      <c r="AC191">
        <v>85</v>
      </c>
      <c r="AD191">
        <v>84669</v>
      </c>
      <c r="AE191" t="s">
        <v>108</v>
      </c>
      <c r="AF191">
        <v>1825.9</v>
      </c>
      <c r="AG191">
        <v>5050.3500000000004</v>
      </c>
      <c r="AH191">
        <v>0</v>
      </c>
      <c r="AI191">
        <v>150000</v>
      </c>
      <c r="AJ191">
        <v>0</v>
      </c>
      <c r="AK191">
        <v>150000</v>
      </c>
      <c r="AL191">
        <v>10000</v>
      </c>
      <c r="AM191">
        <v>10000</v>
      </c>
      <c r="AN191">
        <v>521.69000000000005</v>
      </c>
      <c r="AO191">
        <v>0</v>
      </c>
      <c r="AP191">
        <v>130.41999999999999</v>
      </c>
      <c r="AQ191">
        <v>65.209999999999994</v>
      </c>
      <c r="AR191">
        <v>65.209999999999994</v>
      </c>
      <c r="AS191" t="s">
        <v>86</v>
      </c>
      <c r="AT191" t="s">
        <v>86</v>
      </c>
      <c r="AU191">
        <v>0</v>
      </c>
      <c r="AV191">
        <v>0</v>
      </c>
    </row>
    <row r="192" spans="1:48" x14ac:dyDescent="0.3">
      <c r="A192">
        <v>4211</v>
      </c>
      <c r="B192" t="s">
        <v>104</v>
      </c>
      <c r="C192" t="s">
        <v>622</v>
      </c>
      <c r="D192" t="s">
        <v>623</v>
      </c>
      <c r="E192" t="s">
        <v>105</v>
      </c>
      <c r="F192" t="s">
        <v>610</v>
      </c>
      <c r="G192" t="s">
        <v>611</v>
      </c>
      <c r="H192">
        <v>0</v>
      </c>
      <c r="I192">
        <v>0</v>
      </c>
      <c r="J192" t="s">
        <v>106</v>
      </c>
      <c r="K192" t="s">
        <v>106</v>
      </c>
      <c r="N192" s="9">
        <v>46139</v>
      </c>
      <c r="O192">
        <v>10693</v>
      </c>
      <c r="P192">
        <v>1</v>
      </c>
      <c r="Q192">
        <v>6</v>
      </c>
      <c r="R192" t="s">
        <v>86</v>
      </c>
      <c r="S192" t="s">
        <v>87</v>
      </c>
      <c r="T192" t="s">
        <v>89</v>
      </c>
      <c r="U192" t="s">
        <v>839</v>
      </c>
      <c r="V192">
        <v>2026</v>
      </c>
      <c r="W192">
        <v>2026</v>
      </c>
      <c r="X192" t="s">
        <v>107</v>
      </c>
      <c r="Y192">
        <v>0</v>
      </c>
      <c r="Z192">
        <v>0</v>
      </c>
      <c r="AA192">
        <v>0</v>
      </c>
      <c r="AB192" t="s">
        <v>88</v>
      </c>
      <c r="AC192">
        <v>85</v>
      </c>
      <c r="AD192">
        <v>84669</v>
      </c>
      <c r="AE192" t="s">
        <v>108</v>
      </c>
      <c r="AF192">
        <v>1825.9</v>
      </c>
      <c r="AG192">
        <v>5050.3500000000004</v>
      </c>
      <c r="AH192">
        <v>0</v>
      </c>
      <c r="AI192">
        <v>150000</v>
      </c>
      <c r="AJ192">
        <v>0</v>
      </c>
      <c r="AK192">
        <v>150000</v>
      </c>
      <c r="AL192">
        <v>10000</v>
      </c>
      <c r="AM192">
        <v>10000</v>
      </c>
      <c r="AN192">
        <v>521.69000000000005</v>
      </c>
      <c r="AO192">
        <v>0</v>
      </c>
      <c r="AP192">
        <v>130.41999999999999</v>
      </c>
      <c r="AQ192">
        <v>65.209999999999994</v>
      </c>
      <c r="AR192">
        <v>65.209999999999994</v>
      </c>
      <c r="AS192" t="s">
        <v>86</v>
      </c>
      <c r="AT192" t="s">
        <v>86</v>
      </c>
      <c r="AU192">
        <v>0</v>
      </c>
      <c r="AV192">
        <v>0</v>
      </c>
    </row>
    <row r="193" spans="1:48" x14ac:dyDescent="0.3">
      <c r="A193">
        <v>4212</v>
      </c>
      <c r="B193" t="s">
        <v>104</v>
      </c>
      <c r="C193" t="s">
        <v>624</v>
      </c>
      <c r="D193" t="s">
        <v>625</v>
      </c>
      <c r="E193" t="s">
        <v>105</v>
      </c>
      <c r="F193" t="s">
        <v>610</v>
      </c>
      <c r="G193" t="s">
        <v>611</v>
      </c>
      <c r="H193">
        <v>0</v>
      </c>
      <c r="I193">
        <v>0</v>
      </c>
      <c r="J193" t="s">
        <v>106</v>
      </c>
      <c r="K193" t="s">
        <v>106</v>
      </c>
      <c r="N193" s="9">
        <v>46139</v>
      </c>
      <c r="O193">
        <v>10693</v>
      </c>
      <c r="P193">
        <v>1</v>
      </c>
      <c r="Q193">
        <v>7</v>
      </c>
      <c r="R193" t="s">
        <v>86</v>
      </c>
      <c r="S193" t="s">
        <v>87</v>
      </c>
      <c r="T193" t="s">
        <v>89</v>
      </c>
      <c r="U193" t="s">
        <v>839</v>
      </c>
      <c r="V193">
        <v>2026</v>
      </c>
      <c r="W193">
        <v>2026</v>
      </c>
      <c r="X193" t="s">
        <v>107</v>
      </c>
      <c r="Y193">
        <v>0</v>
      </c>
      <c r="Z193">
        <v>0</v>
      </c>
      <c r="AA193">
        <v>0</v>
      </c>
      <c r="AB193" t="s">
        <v>88</v>
      </c>
      <c r="AC193">
        <v>85</v>
      </c>
      <c r="AD193">
        <v>84669</v>
      </c>
      <c r="AE193" t="s">
        <v>108</v>
      </c>
      <c r="AF193">
        <v>1825.9</v>
      </c>
      <c r="AG193">
        <v>5050.3500000000004</v>
      </c>
      <c r="AH193">
        <v>0</v>
      </c>
      <c r="AI193">
        <v>150000</v>
      </c>
      <c r="AJ193">
        <v>0</v>
      </c>
      <c r="AK193">
        <v>150000</v>
      </c>
      <c r="AL193">
        <v>10000</v>
      </c>
      <c r="AM193">
        <v>10000</v>
      </c>
      <c r="AN193">
        <v>521.69000000000005</v>
      </c>
      <c r="AO193">
        <v>0</v>
      </c>
      <c r="AP193">
        <v>130.41999999999999</v>
      </c>
      <c r="AQ193">
        <v>65.209999999999994</v>
      </c>
      <c r="AR193">
        <v>65.209999999999994</v>
      </c>
      <c r="AS193" t="s">
        <v>86</v>
      </c>
      <c r="AT193" t="s">
        <v>86</v>
      </c>
      <c r="AU193">
        <v>0</v>
      </c>
      <c r="AV193">
        <v>0</v>
      </c>
    </row>
    <row r="194" spans="1:48" x14ac:dyDescent="0.3">
      <c r="A194">
        <v>4213</v>
      </c>
      <c r="B194" t="s">
        <v>104</v>
      </c>
      <c r="C194" t="s">
        <v>626</v>
      </c>
      <c r="D194" t="s">
        <v>627</v>
      </c>
      <c r="E194" t="s">
        <v>105</v>
      </c>
      <c r="F194" t="s">
        <v>610</v>
      </c>
      <c r="G194" t="s">
        <v>611</v>
      </c>
      <c r="H194">
        <v>0</v>
      </c>
      <c r="I194">
        <v>0</v>
      </c>
      <c r="J194" t="s">
        <v>106</v>
      </c>
      <c r="K194" t="s">
        <v>106</v>
      </c>
      <c r="N194" s="9">
        <v>46139</v>
      </c>
      <c r="O194">
        <v>10693</v>
      </c>
      <c r="P194">
        <v>1</v>
      </c>
      <c r="Q194">
        <v>8</v>
      </c>
      <c r="R194" t="s">
        <v>86</v>
      </c>
      <c r="S194" t="s">
        <v>87</v>
      </c>
      <c r="T194" t="s">
        <v>89</v>
      </c>
      <c r="U194" t="s">
        <v>839</v>
      </c>
      <c r="V194">
        <v>2026</v>
      </c>
      <c r="W194">
        <v>2026</v>
      </c>
      <c r="X194" t="s">
        <v>107</v>
      </c>
      <c r="Y194">
        <v>0</v>
      </c>
      <c r="Z194">
        <v>0</v>
      </c>
      <c r="AA194">
        <v>0</v>
      </c>
      <c r="AB194" t="s">
        <v>88</v>
      </c>
      <c r="AC194">
        <v>85</v>
      </c>
      <c r="AD194">
        <v>84669</v>
      </c>
      <c r="AE194" t="s">
        <v>108</v>
      </c>
      <c r="AF194">
        <v>1825.9</v>
      </c>
      <c r="AG194">
        <v>5050.3500000000004</v>
      </c>
      <c r="AH194">
        <v>0</v>
      </c>
      <c r="AI194">
        <v>150000</v>
      </c>
      <c r="AJ194">
        <v>0</v>
      </c>
      <c r="AK194">
        <v>150000</v>
      </c>
      <c r="AL194">
        <v>10000</v>
      </c>
      <c r="AM194">
        <v>10000</v>
      </c>
      <c r="AN194">
        <v>521.69000000000005</v>
      </c>
      <c r="AO194">
        <v>0</v>
      </c>
      <c r="AP194">
        <v>130.41999999999999</v>
      </c>
      <c r="AQ194">
        <v>65.209999999999994</v>
      </c>
      <c r="AR194">
        <v>65.209999999999994</v>
      </c>
      <c r="AS194" t="s">
        <v>86</v>
      </c>
      <c r="AT194" t="s">
        <v>86</v>
      </c>
      <c r="AU194">
        <v>0</v>
      </c>
      <c r="AV194">
        <v>0</v>
      </c>
    </row>
    <row r="195" spans="1:48" x14ac:dyDescent="0.3">
      <c r="A195">
        <v>4214</v>
      </c>
      <c r="B195" t="s">
        <v>104</v>
      </c>
      <c r="C195" t="s">
        <v>628</v>
      </c>
      <c r="D195" t="s">
        <v>629</v>
      </c>
      <c r="E195" t="s">
        <v>105</v>
      </c>
      <c r="F195" t="s">
        <v>610</v>
      </c>
      <c r="G195" t="s">
        <v>611</v>
      </c>
      <c r="H195">
        <v>0</v>
      </c>
      <c r="I195">
        <v>0</v>
      </c>
      <c r="J195" t="s">
        <v>106</v>
      </c>
      <c r="K195" t="s">
        <v>106</v>
      </c>
      <c r="N195" s="9">
        <v>46139</v>
      </c>
      <c r="O195">
        <v>10693</v>
      </c>
      <c r="P195">
        <v>1</v>
      </c>
      <c r="Q195">
        <v>9</v>
      </c>
      <c r="R195" t="s">
        <v>86</v>
      </c>
      <c r="S195" t="s">
        <v>87</v>
      </c>
      <c r="T195" t="s">
        <v>89</v>
      </c>
      <c r="U195" t="s">
        <v>839</v>
      </c>
      <c r="V195">
        <v>2026</v>
      </c>
      <c r="W195">
        <v>2026</v>
      </c>
      <c r="X195" t="s">
        <v>107</v>
      </c>
      <c r="Y195">
        <v>0</v>
      </c>
      <c r="Z195">
        <v>0</v>
      </c>
      <c r="AA195">
        <v>0</v>
      </c>
      <c r="AB195" t="s">
        <v>88</v>
      </c>
      <c r="AC195">
        <v>85</v>
      </c>
      <c r="AD195">
        <v>84669</v>
      </c>
      <c r="AE195" t="s">
        <v>108</v>
      </c>
      <c r="AF195">
        <v>1825.9</v>
      </c>
      <c r="AG195">
        <v>5050.3500000000004</v>
      </c>
      <c r="AH195">
        <v>0</v>
      </c>
      <c r="AI195">
        <v>150000</v>
      </c>
      <c r="AJ195">
        <v>0</v>
      </c>
      <c r="AK195">
        <v>150000</v>
      </c>
      <c r="AL195">
        <v>10000</v>
      </c>
      <c r="AM195">
        <v>10000</v>
      </c>
      <c r="AN195">
        <v>521.69000000000005</v>
      </c>
      <c r="AO195">
        <v>0</v>
      </c>
      <c r="AP195">
        <v>130.41999999999999</v>
      </c>
      <c r="AQ195">
        <v>65.209999999999994</v>
      </c>
      <c r="AR195">
        <v>65.209999999999994</v>
      </c>
      <c r="AS195" t="s">
        <v>86</v>
      </c>
      <c r="AT195" t="s">
        <v>86</v>
      </c>
      <c r="AU195">
        <v>0</v>
      </c>
      <c r="AV195">
        <v>0</v>
      </c>
    </row>
    <row r="196" spans="1:48" x14ac:dyDescent="0.3">
      <c r="A196">
        <v>4215</v>
      </c>
      <c r="B196" t="s">
        <v>104</v>
      </c>
      <c r="C196" t="s">
        <v>630</v>
      </c>
      <c r="D196" t="s">
        <v>631</v>
      </c>
      <c r="E196" t="s">
        <v>105</v>
      </c>
      <c r="F196" t="s">
        <v>610</v>
      </c>
      <c r="G196" t="s">
        <v>611</v>
      </c>
      <c r="H196">
        <v>0</v>
      </c>
      <c r="I196">
        <v>0</v>
      </c>
      <c r="J196" t="s">
        <v>106</v>
      </c>
      <c r="K196" t="s">
        <v>106</v>
      </c>
      <c r="N196" s="9">
        <v>46139</v>
      </c>
      <c r="O196">
        <v>10693</v>
      </c>
      <c r="P196">
        <v>1</v>
      </c>
      <c r="Q196">
        <v>10</v>
      </c>
      <c r="R196" t="s">
        <v>86</v>
      </c>
      <c r="S196" t="s">
        <v>87</v>
      </c>
      <c r="T196" t="s">
        <v>89</v>
      </c>
      <c r="U196" t="s">
        <v>839</v>
      </c>
      <c r="V196">
        <v>2026</v>
      </c>
      <c r="W196">
        <v>2026</v>
      </c>
      <c r="X196" t="s">
        <v>107</v>
      </c>
      <c r="Y196">
        <v>0</v>
      </c>
      <c r="Z196">
        <v>0</v>
      </c>
      <c r="AA196">
        <v>0</v>
      </c>
      <c r="AB196" t="s">
        <v>88</v>
      </c>
      <c r="AC196">
        <v>85</v>
      </c>
      <c r="AD196">
        <v>84669</v>
      </c>
      <c r="AE196" t="s">
        <v>108</v>
      </c>
      <c r="AF196">
        <v>1825.9</v>
      </c>
      <c r="AG196">
        <v>5050.3500000000004</v>
      </c>
      <c r="AH196">
        <v>0</v>
      </c>
      <c r="AI196">
        <v>150000</v>
      </c>
      <c r="AJ196">
        <v>0</v>
      </c>
      <c r="AK196">
        <v>150000</v>
      </c>
      <c r="AL196">
        <v>10000</v>
      </c>
      <c r="AM196">
        <v>10000</v>
      </c>
      <c r="AN196">
        <v>521.69000000000005</v>
      </c>
      <c r="AO196">
        <v>0</v>
      </c>
      <c r="AP196">
        <v>130.41999999999999</v>
      </c>
      <c r="AQ196">
        <v>65.209999999999994</v>
      </c>
      <c r="AR196">
        <v>65.209999999999994</v>
      </c>
      <c r="AS196" t="s">
        <v>86</v>
      </c>
      <c r="AT196" t="s">
        <v>86</v>
      </c>
      <c r="AU196">
        <v>0</v>
      </c>
      <c r="AV196">
        <v>0</v>
      </c>
    </row>
    <row r="197" spans="1:48" x14ac:dyDescent="0.3">
      <c r="A197">
        <v>4216</v>
      </c>
      <c r="B197" t="s">
        <v>104</v>
      </c>
      <c r="C197" t="s">
        <v>632</v>
      </c>
      <c r="D197" t="s">
        <v>633</v>
      </c>
      <c r="E197" t="s">
        <v>105</v>
      </c>
      <c r="F197" t="s">
        <v>610</v>
      </c>
      <c r="G197" t="s">
        <v>611</v>
      </c>
      <c r="H197">
        <v>0</v>
      </c>
      <c r="I197">
        <v>0</v>
      </c>
      <c r="J197" t="s">
        <v>106</v>
      </c>
      <c r="K197" t="s">
        <v>106</v>
      </c>
      <c r="N197" s="9">
        <v>46139</v>
      </c>
      <c r="O197">
        <v>10693</v>
      </c>
      <c r="P197">
        <v>1</v>
      </c>
      <c r="Q197">
        <v>11</v>
      </c>
      <c r="R197" t="s">
        <v>86</v>
      </c>
      <c r="S197" t="s">
        <v>87</v>
      </c>
      <c r="T197" t="s">
        <v>89</v>
      </c>
      <c r="U197" t="s">
        <v>839</v>
      </c>
      <c r="V197">
        <v>2026</v>
      </c>
      <c r="W197">
        <v>2026</v>
      </c>
      <c r="X197" t="s">
        <v>107</v>
      </c>
      <c r="Y197">
        <v>0</v>
      </c>
      <c r="Z197">
        <v>0</v>
      </c>
      <c r="AA197">
        <v>0</v>
      </c>
      <c r="AB197" t="s">
        <v>88</v>
      </c>
      <c r="AC197">
        <v>85</v>
      </c>
      <c r="AD197">
        <v>84669</v>
      </c>
      <c r="AE197" t="s">
        <v>108</v>
      </c>
      <c r="AF197">
        <v>1825.9</v>
      </c>
      <c r="AG197">
        <v>5050.3500000000004</v>
      </c>
      <c r="AH197">
        <v>0</v>
      </c>
      <c r="AI197">
        <v>150000</v>
      </c>
      <c r="AJ197">
        <v>0</v>
      </c>
      <c r="AK197">
        <v>150000</v>
      </c>
      <c r="AL197">
        <v>10000</v>
      </c>
      <c r="AM197">
        <v>10000</v>
      </c>
      <c r="AN197">
        <v>521.69000000000005</v>
      </c>
      <c r="AO197">
        <v>0</v>
      </c>
      <c r="AP197">
        <v>130.41999999999999</v>
      </c>
      <c r="AQ197">
        <v>65.209999999999994</v>
      </c>
      <c r="AR197">
        <v>65.209999999999994</v>
      </c>
      <c r="AS197" t="s">
        <v>86</v>
      </c>
      <c r="AT197" t="s">
        <v>86</v>
      </c>
      <c r="AU197">
        <v>0</v>
      </c>
      <c r="AV197">
        <v>0</v>
      </c>
    </row>
    <row r="198" spans="1:48" x14ac:dyDescent="0.3">
      <c r="A198">
        <v>4217</v>
      </c>
      <c r="B198" t="s">
        <v>104</v>
      </c>
      <c r="C198" t="s">
        <v>634</v>
      </c>
      <c r="D198" t="s">
        <v>635</v>
      </c>
      <c r="E198" t="s">
        <v>105</v>
      </c>
      <c r="F198" t="s">
        <v>610</v>
      </c>
      <c r="G198" t="s">
        <v>611</v>
      </c>
      <c r="H198">
        <v>0</v>
      </c>
      <c r="I198">
        <v>0</v>
      </c>
      <c r="J198" t="s">
        <v>106</v>
      </c>
      <c r="K198" t="s">
        <v>106</v>
      </c>
      <c r="N198" s="9">
        <v>46139</v>
      </c>
      <c r="O198">
        <v>10693</v>
      </c>
      <c r="P198">
        <v>1</v>
      </c>
      <c r="Q198">
        <v>12</v>
      </c>
      <c r="R198" t="s">
        <v>86</v>
      </c>
      <c r="S198" t="s">
        <v>87</v>
      </c>
      <c r="T198" t="s">
        <v>89</v>
      </c>
      <c r="U198" t="s">
        <v>839</v>
      </c>
      <c r="V198">
        <v>2026</v>
      </c>
      <c r="W198">
        <v>2026</v>
      </c>
      <c r="X198" t="s">
        <v>107</v>
      </c>
      <c r="Y198">
        <v>0</v>
      </c>
      <c r="Z198">
        <v>0</v>
      </c>
      <c r="AA198">
        <v>0</v>
      </c>
      <c r="AB198" t="s">
        <v>88</v>
      </c>
      <c r="AC198">
        <v>85</v>
      </c>
      <c r="AD198">
        <v>84669</v>
      </c>
      <c r="AE198" t="s">
        <v>108</v>
      </c>
      <c r="AF198">
        <v>1825.9</v>
      </c>
      <c r="AG198">
        <v>5050.3500000000004</v>
      </c>
      <c r="AH198">
        <v>0</v>
      </c>
      <c r="AI198">
        <v>150000</v>
      </c>
      <c r="AJ198">
        <v>0</v>
      </c>
      <c r="AK198">
        <v>150000</v>
      </c>
      <c r="AL198">
        <v>10000</v>
      </c>
      <c r="AM198">
        <v>10000</v>
      </c>
      <c r="AN198">
        <v>521.69000000000005</v>
      </c>
      <c r="AO198">
        <v>0</v>
      </c>
      <c r="AP198">
        <v>130.41999999999999</v>
      </c>
      <c r="AQ198">
        <v>65.209999999999994</v>
      </c>
      <c r="AR198">
        <v>65.209999999999994</v>
      </c>
      <c r="AS198" t="s">
        <v>86</v>
      </c>
      <c r="AT198" t="s">
        <v>86</v>
      </c>
      <c r="AU198">
        <v>0</v>
      </c>
      <c r="AV198">
        <v>0</v>
      </c>
    </row>
    <row r="199" spans="1:48" x14ac:dyDescent="0.3">
      <c r="A199">
        <v>4218</v>
      </c>
      <c r="B199" t="s">
        <v>104</v>
      </c>
      <c r="C199" t="s">
        <v>636</v>
      </c>
      <c r="D199" t="s">
        <v>637</v>
      </c>
      <c r="E199" t="s">
        <v>105</v>
      </c>
      <c r="F199" t="s">
        <v>610</v>
      </c>
      <c r="G199" t="s">
        <v>611</v>
      </c>
      <c r="H199">
        <v>0</v>
      </c>
      <c r="I199">
        <v>0</v>
      </c>
      <c r="J199" t="s">
        <v>106</v>
      </c>
      <c r="K199" t="s">
        <v>106</v>
      </c>
      <c r="N199" s="9">
        <v>46139</v>
      </c>
      <c r="O199">
        <v>10693</v>
      </c>
      <c r="P199">
        <v>1</v>
      </c>
      <c r="Q199">
        <v>13</v>
      </c>
      <c r="R199" t="s">
        <v>86</v>
      </c>
      <c r="S199" t="s">
        <v>87</v>
      </c>
      <c r="T199" t="s">
        <v>89</v>
      </c>
      <c r="U199" t="s">
        <v>839</v>
      </c>
      <c r="V199">
        <v>2026</v>
      </c>
      <c r="W199">
        <v>2026</v>
      </c>
      <c r="X199" t="s">
        <v>107</v>
      </c>
      <c r="Y199">
        <v>0</v>
      </c>
      <c r="Z199">
        <v>0</v>
      </c>
      <c r="AA199">
        <v>0</v>
      </c>
      <c r="AB199" t="s">
        <v>88</v>
      </c>
      <c r="AC199">
        <v>85</v>
      </c>
      <c r="AD199">
        <v>84669</v>
      </c>
      <c r="AE199" t="s">
        <v>108</v>
      </c>
      <c r="AF199">
        <v>1825.9</v>
      </c>
      <c r="AG199">
        <v>5050.3500000000004</v>
      </c>
      <c r="AH199">
        <v>0</v>
      </c>
      <c r="AI199">
        <v>150000</v>
      </c>
      <c r="AJ199">
        <v>0</v>
      </c>
      <c r="AK199">
        <v>150000</v>
      </c>
      <c r="AL199">
        <v>10000</v>
      </c>
      <c r="AM199">
        <v>10000</v>
      </c>
      <c r="AN199">
        <v>521.69000000000005</v>
      </c>
      <c r="AO199">
        <v>0</v>
      </c>
      <c r="AP199">
        <v>130.41999999999999</v>
      </c>
      <c r="AQ199">
        <v>65.209999999999994</v>
      </c>
      <c r="AR199">
        <v>65.209999999999994</v>
      </c>
      <c r="AS199" t="s">
        <v>86</v>
      </c>
      <c r="AT199" t="s">
        <v>86</v>
      </c>
      <c r="AU199">
        <v>0</v>
      </c>
      <c r="AV199">
        <v>0</v>
      </c>
    </row>
    <row r="200" spans="1:48" x14ac:dyDescent="0.3">
      <c r="A200">
        <v>4219</v>
      </c>
      <c r="B200" t="s">
        <v>104</v>
      </c>
      <c r="C200" t="s">
        <v>638</v>
      </c>
      <c r="D200" t="s">
        <v>639</v>
      </c>
      <c r="E200" t="s">
        <v>105</v>
      </c>
      <c r="F200" t="s">
        <v>610</v>
      </c>
      <c r="G200" t="s">
        <v>611</v>
      </c>
      <c r="H200">
        <v>0</v>
      </c>
      <c r="I200">
        <v>0</v>
      </c>
      <c r="J200" t="s">
        <v>106</v>
      </c>
      <c r="K200" t="s">
        <v>106</v>
      </c>
      <c r="N200" s="9">
        <v>46139</v>
      </c>
      <c r="O200">
        <v>10693</v>
      </c>
      <c r="P200">
        <v>3</v>
      </c>
      <c r="Q200">
        <v>1</v>
      </c>
      <c r="R200" t="s">
        <v>86</v>
      </c>
      <c r="S200" t="s">
        <v>87</v>
      </c>
      <c r="T200" t="s">
        <v>99</v>
      </c>
      <c r="U200" t="s">
        <v>848</v>
      </c>
      <c r="V200">
        <v>2026</v>
      </c>
      <c r="W200">
        <v>2026</v>
      </c>
      <c r="X200" t="s">
        <v>107</v>
      </c>
      <c r="Y200">
        <v>0</v>
      </c>
      <c r="Z200">
        <v>0</v>
      </c>
      <c r="AA200">
        <v>0</v>
      </c>
      <c r="AB200" t="s">
        <v>101</v>
      </c>
      <c r="AC200">
        <v>85</v>
      </c>
      <c r="AD200">
        <v>133248</v>
      </c>
      <c r="AE200" t="s">
        <v>108</v>
      </c>
      <c r="AF200">
        <v>1554.88</v>
      </c>
      <c r="AG200">
        <v>7190.4</v>
      </c>
      <c r="AH200">
        <v>0</v>
      </c>
      <c r="AI200">
        <v>150000</v>
      </c>
      <c r="AJ200">
        <v>0</v>
      </c>
      <c r="AK200">
        <v>150000</v>
      </c>
      <c r="AL200">
        <v>10000</v>
      </c>
      <c r="AM200">
        <v>10000</v>
      </c>
      <c r="AN200">
        <v>444.25</v>
      </c>
      <c r="AO200">
        <v>0</v>
      </c>
      <c r="AP200">
        <v>111.06</v>
      </c>
      <c r="AQ200">
        <v>55.53</v>
      </c>
      <c r="AR200">
        <v>55.53</v>
      </c>
      <c r="AS200" t="s">
        <v>86</v>
      </c>
      <c r="AT200" t="s">
        <v>86</v>
      </c>
      <c r="AU200">
        <v>0</v>
      </c>
      <c r="AV200">
        <v>0</v>
      </c>
    </row>
    <row r="201" spans="1:48" x14ac:dyDescent="0.3">
      <c r="A201">
        <v>4220</v>
      </c>
      <c r="B201" t="s">
        <v>104</v>
      </c>
      <c r="C201" t="s">
        <v>642</v>
      </c>
      <c r="D201" t="s">
        <v>643</v>
      </c>
      <c r="E201" t="s">
        <v>133</v>
      </c>
      <c r="F201" t="s">
        <v>640</v>
      </c>
      <c r="G201" t="s">
        <v>641</v>
      </c>
      <c r="H201">
        <v>0</v>
      </c>
      <c r="I201">
        <v>0</v>
      </c>
      <c r="J201" t="s">
        <v>106</v>
      </c>
      <c r="K201" t="s">
        <v>106</v>
      </c>
      <c r="N201" s="9">
        <v>46139</v>
      </c>
      <c r="O201">
        <v>10690</v>
      </c>
      <c r="P201">
        <v>1</v>
      </c>
      <c r="Q201">
        <v>1</v>
      </c>
      <c r="R201" t="s">
        <v>86</v>
      </c>
      <c r="S201" t="s">
        <v>87</v>
      </c>
      <c r="T201" t="s">
        <v>89</v>
      </c>
      <c r="U201" t="s">
        <v>841</v>
      </c>
      <c r="V201">
        <v>2026</v>
      </c>
      <c r="W201">
        <v>2026</v>
      </c>
      <c r="X201" t="s">
        <v>107</v>
      </c>
      <c r="Y201">
        <v>0</v>
      </c>
      <c r="Z201">
        <v>0</v>
      </c>
      <c r="AA201">
        <v>0</v>
      </c>
      <c r="AB201" t="s">
        <v>88</v>
      </c>
      <c r="AC201">
        <v>85</v>
      </c>
      <c r="AD201">
        <v>84669</v>
      </c>
      <c r="AE201" t="s">
        <v>113</v>
      </c>
      <c r="AF201">
        <v>1836.77</v>
      </c>
      <c r="AG201">
        <v>5050.3500000000004</v>
      </c>
      <c r="AH201">
        <v>0</v>
      </c>
      <c r="AI201">
        <v>300000</v>
      </c>
      <c r="AJ201">
        <v>0</v>
      </c>
      <c r="AK201">
        <v>300000</v>
      </c>
      <c r="AL201">
        <v>10000</v>
      </c>
      <c r="AM201">
        <v>10000</v>
      </c>
      <c r="AN201">
        <v>554.88</v>
      </c>
      <c r="AO201">
        <v>0</v>
      </c>
      <c r="AP201">
        <v>138.72</v>
      </c>
      <c r="AQ201">
        <v>65.599999999999994</v>
      </c>
      <c r="AR201">
        <v>65.599999999999994</v>
      </c>
      <c r="AS201" t="s">
        <v>86</v>
      </c>
      <c r="AT201" t="s">
        <v>86</v>
      </c>
      <c r="AU201">
        <v>0</v>
      </c>
      <c r="AV201">
        <v>0</v>
      </c>
    </row>
    <row r="202" spans="1:48" x14ac:dyDescent="0.3">
      <c r="A202">
        <v>4221</v>
      </c>
      <c r="B202" t="s">
        <v>104</v>
      </c>
      <c r="C202" t="s">
        <v>646</v>
      </c>
      <c r="D202" t="s">
        <v>647</v>
      </c>
      <c r="E202" t="s">
        <v>131</v>
      </c>
      <c r="F202" t="s">
        <v>644</v>
      </c>
      <c r="G202" t="s">
        <v>645</v>
      </c>
      <c r="H202">
        <v>0</v>
      </c>
      <c r="I202">
        <v>0</v>
      </c>
      <c r="J202" t="s">
        <v>106</v>
      </c>
      <c r="K202" t="s">
        <v>106</v>
      </c>
      <c r="N202" s="9">
        <v>46139</v>
      </c>
      <c r="O202">
        <v>10696</v>
      </c>
      <c r="P202">
        <v>1</v>
      </c>
      <c r="Q202">
        <v>1</v>
      </c>
      <c r="R202" t="s">
        <v>86</v>
      </c>
      <c r="S202" t="s">
        <v>87</v>
      </c>
      <c r="T202" t="s">
        <v>89</v>
      </c>
      <c r="U202" t="s">
        <v>842</v>
      </c>
      <c r="V202">
        <v>2026</v>
      </c>
      <c r="W202">
        <v>2026</v>
      </c>
      <c r="X202" t="s">
        <v>107</v>
      </c>
      <c r="Y202">
        <v>0</v>
      </c>
      <c r="Z202">
        <v>0</v>
      </c>
      <c r="AA202">
        <v>0</v>
      </c>
      <c r="AB202" t="s">
        <v>88</v>
      </c>
      <c r="AC202">
        <v>85</v>
      </c>
      <c r="AD202">
        <v>84669</v>
      </c>
      <c r="AE202" t="s">
        <v>113</v>
      </c>
      <c r="AF202">
        <v>1836.77</v>
      </c>
      <c r="AG202">
        <v>5050.3500000000004</v>
      </c>
      <c r="AH202">
        <v>0</v>
      </c>
      <c r="AI202">
        <v>300000</v>
      </c>
      <c r="AJ202">
        <v>0</v>
      </c>
      <c r="AK202">
        <v>300000</v>
      </c>
      <c r="AL202">
        <v>10000</v>
      </c>
      <c r="AM202">
        <v>10000</v>
      </c>
      <c r="AN202">
        <v>554.88</v>
      </c>
      <c r="AO202">
        <v>0</v>
      </c>
      <c r="AP202">
        <v>138.72</v>
      </c>
      <c r="AQ202">
        <v>65.599999999999994</v>
      </c>
      <c r="AR202">
        <v>65.599999999999994</v>
      </c>
      <c r="AS202" t="s">
        <v>86</v>
      </c>
      <c r="AT202" t="s">
        <v>86</v>
      </c>
      <c r="AU202">
        <v>0</v>
      </c>
      <c r="AV202">
        <v>0</v>
      </c>
    </row>
    <row r="203" spans="1:48" x14ac:dyDescent="0.3">
      <c r="A203">
        <v>4222</v>
      </c>
      <c r="B203" t="s">
        <v>104</v>
      </c>
      <c r="C203" t="s">
        <v>650</v>
      </c>
      <c r="D203" t="s">
        <v>651</v>
      </c>
      <c r="E203" t="s">
        <v>138</v>
      </c>
      <c r="F203" t="s">
        <v>648</v>
      </c>
      <c r="G203" t="s">
        <v>649</v>
      </c>
      <c r="H203">
        <v>0</v>
      </c>
      <c r="I203">
        <v>0</v>
      </c>
      <c r="J203" t="s">
        <v>106</v>
      </c>
      <c r="K203" t="s">
        <v>106</v>
      </c>
      <c r="N203" s="9">
        <v>46139</v>
      </c>
      <c r="O203">
        <v>10710</v>
      </c>
      <c r="P203">
        <v>1</v>
      </c>
      <c r="Q203">
        <v>1</v>
      </c>
      <c r="R203" t="s">
        <v>86</v>
      </c>
      <c r="S203" t="s">
        <v>87</v>
      </c>
      <c r="T203" t="s">
        <v>89</v>
      </c>
      <c r="U203" t="s">
        <v>841</v>
      </c>
      <c r="V203">
        <v>2026</v>
      </c>
      <c r="W203">
        <v>2026</v>
      </c>
      <c r="X203" t="s">
        <v>107</v>
      </c>
      <c r="Y203">
        <v>0</v>
      </c>
      <c r="Z203">
        <v>0</v>
      </c>
      <c r="AA203">
        <v>0</v>
      </c>
      <c r="AB203" t="s">
        <v>88</v>
      </c>
      <c r="AC203">
        <v>85</v>
      </c>
      <c r="AD203">
        <v>84669</v>
      </c>
      <c r="AE203" t="s">
        <v>113</v>
      </c>
      <c r="AF203">
        <v>1836.77</v>
      </c>
      <c r="AG203">
        <v>5050.3500000000004</v>
      </c>
      <c r="AH203">
        <v>0</v>
      </c>
      <c r="AI203">
        <v>300000</v>
      </c>
      <c r="AJ203">
        <v>0</v>
      </c>
      <c r="AK203">
        <v>300000</v>
      </c>
      <c r="AL203">
        <v>10000</v>
      </c>
      <c r="AM203">
        <v>10000</v>
      </c>
      <c r="AN203">
        <v>554.88</v>
      </c>
      <c r="AO203">
        <v>0</v>
      </c>
      <c r="AP203">
        <v>138.72</v>
      </c>
      <c r="AQ203">
        <v>65.599999999999994</v>
      </c>
      <c r="AR203">
        <v>65.599999999999994</v>
      </c>
      <c r="AS203" t="s">
        <v>86</v>
      </c>
      <c r="AT203" t="s">
        <v>86</v>
      </c>
      <c r="AU203">
        <v>0</v>
      </c>
      <c r="AV203">
        <v>0</v>
      </c>
    </row>
    <row r="204" spans="1:48" x14ac:dyDescent="0.3">
      <c r="A204">
        <v>4225</v>
      </c>
      <c r="B204" t="s">
        <v>104</v>
      </c>
      <c r="C204" t="s">
        <v>652</v>
      </c>
      <c r="D204" t="s">
        <v>653</v>
      </c>
      <c r="E204" t="s">
        <v>105</v>
      </c>
      <c r="F204" t="s">
        <v>149</v>
      </c>
      <c r="G204" t="s">
        <v>150</v>
      </c>
      <c r="H204">
        <v>0</v>
      </c>
      <c r="I204">
        <v>0</v>
      </c>
      <c r="J204" t="s">
        <v>106</v>
      </c>
      <c r="K204" t="s">
        <v>106</v>
      </c>
      <c r="N204" s="9">
        <v>46140</v>
      </c>
      <c r="O204">
        <v>10681</v>
      </c>
      <c r="P204">
        <v>1</v>
      </c>
      <c r="Q204">
        <v>27</v>
      </c>
      <c r="R204" t="s">
        <v>86</v>
      </c>
      <c r="S204" t="s">
        <v>87</v>
      </c>
      <c r="T204" t="s">
        <v>89</v>
      </c>
      <c r="U204" t="s">
        <v>839</v>
      </c>
      <c r="V204">
        <v>2026</v>
      </c>
      <c r="W204">
        <v>2026</v>
      </c>
      <c r="X204" t="s">
        <v>107</v>
      </c>
      <c r="Y204">
        <v>0</v>
      </c>
      <c r="Z204">
        <v>0</v>
      </c>
      <c r="AA204">
        <v>0</v>
      </c>
      <c r="AB204" t="s">
        <v>88</v>
      </c>
      <c r="AC204">
        <v>85</v>
      </c>
      <c r="AD204">
        <v>84669</v>
      </c>
      <c r="AE204" t="s">
        <v>108</v>
      </c>
      <c r="AF204">
        <v>1825.9</v>
      </c>
      <c r="AG204">
        <v>5050.3500000000004</v>
      </c>
      <c r="AH204">
        <v>0</v>
      </c>
      <c r="AI204">
        <v>150000</v>
      </c>
      <c r="AJ204">
        <v>0</v>
      </c>
      <c r="AK204">
        <v>150000</v>
      </c>
      <c r="AL204">
        <v>10000</v>
      </c>
      <c r="AM204">
        <v>10000</v>
      </c>
      <c r="AN204">
        <v>521.69000000000005</v>
      </c>
      <c r="AO204">
        <v>0</v>
      </c>
      <c r="AP204">
        <v>130.41999999999999</v>
      </c>
      <c r="AQ204">
        <v>65.209999999999994</v>
      </c>
      <c r="AR204">
        <v>65.209999999999994</v>
      </c>
      <c r="AS204" t="s">
        <v>86</v>
      </c>
      <c r="AT204" t="s">
        <v>86</v>
      </c>
      <c r="AU204">
        <v>0</v>
      </c>
      <c r="AV204">
        <v>0</v>
      </c>
    </row>
    <row r="205" spans="1:48" x14ac:dyDescent="0.3">
      <c r="A205">
        <v>4226</v>
      </c>
      <c r="B205" t="s">
        <v>104</v>
      </c>
      <c r="C205" t="s">
        <v>654</v>
      </c>
      <c r="D205" t="s">
        <v>655</v>
      </c>
      <c r="E205" t="s">
        <v>105</v>
      </c>
      <c r="F205" t="s">
        <v>149</v>
      </c>
      <c r="G205" t="s">
        <v>150</v>
      </c>
      <c r="H205">
        <v>0</v>
      </c>
      <c r="I205">
        <v>0</v>
      </c>
      <c r="J205" t="s">
        <v>106</v>
      </c>
      <c r="K205" t="s">
        <v>106</v>
      </c>
      <c r="N205" s="9">
        <v>46140</v>
      </c>
      <c r="O205">
        <v>10681</v>
      </c>
      <c r="P205">
        <v>1</v>
      </c>
      <c r="Q205">
        <v>28</v>
      </c>
      <c r="R205" t="s">
        <v>86</v>
      </c>
      <c r="S205" t="s">
        <v>87</v>
      </c>
      <c r="T205" t="s">
        <v>89</v>
      </c>
      <c r="U205" t="s">
        <v>839</v>
      </c>
      <c r="V205">
        <v>2026</v>
      </c>
      <c r="W205">
        <v>2026</v>
      </c>
      <c r="X205" t="s">
        <v>107</v>
      </c>
      <c r="Y205">
        <v>0</v>
      </c>
      <c r="Z205">
        <v>0</v>
      </c>
      <c r="AA205">
        <v>0</v>
      </c>
      <c r="AB205" t="s">
        <v>88</v>
      </c>
      <c r="AC205">
        <v>85</v>
      </c>
      <c r="AD205">
        <v>84669</v>
      </c>
      <c r="AE205" t="s">
        <v>108</v>
      </c>
      <c r="AF205">
        <v>1825.9</v>
      </c>
      <c r="AG205">
        <v>5050.3500000000004</v>
      </c>
      <c r="AH205">
        <v>0</v>
      </c>
      <c r="AI205">
        <v>150000</v>
      </c>
      <c r="AJ205">
        <v>0</v>
      </c>
      <c r="AK205">
        <v>150000</v>
      </c>
      <c r="AL205">
        <v>10000</v>
      </c>
      <c r="AM205">
        <v>10000</v>
      </c>
      <c r="AN205">
        <v>521.69000000000005</v>
      </c>
      <c r="AO205">
        <v>0</v>
      </c>
      <c r="AP205">
        <v>130.41999999999999</v>
      </c>
      <c r="AQ205">
        <v>65.209999999999994</v>
      </c>
      <c r="AR205">
        <v>65.209999999999994</v>
      </c>
      <c r="AS205" t="s">
        <v>86</v>
      </c>
      <c r="AT205" t="s">
        <v>86</v>
      </c>
      <c r="AU205">
        <v>0</v>
      </c>
      <c r="AV205">
        <v>0</v>
      </c>
    </row>
    <row r="206" spans="1:48" x14ac:dyDescent="0.3">
      <c r="A206">
        <v>4227</v>
      </c>
      <c r="B206" t="s">
        <v>104</v>
      </c>
      <c r="C206" t="s">
        <v>656</v>
      </c>
      <c r="D206" t="s">
        <v>657</v>
      </c>
      <c r="E206" t="s">
        <v>105</v>
      </c>
      <c r="F206" t="s">
        <v>149</v>
      </c>
      <c r="G206" t="s">
        <v>150</v>
      </c>
      <c r="H206">
        <v>0</v>
      </c>
      <c r="I206">
        <v>0</v>
      </c>
      <c r="J206" t="s">
        <v>106</v>
      </c>
      <c r="K206" t="s">
        <v>106</v>
      </c>
      <c r="N206" s="9">
        <v>46140</v>
      </c>
      <c r="O206">
        <v>10681</v>
      </c>
      <c r="P206">
        <v>1</v>
      </c>
      <c r="Q206">
        <v>29</v>
      </c>
      <c r="R206" t="s">
        <v>86</v>
      </c>
      <c r="S206" t="s">
        <v>87</v>
      </c>
      <c r="T206" t="s">
        <v>89</v>
      </c>
      <c r="U206" t="s">
        <v>839</v>
      </c>
      <c r="V206">
        <v>2026</v>
      </c>
      <c r="W206">
        <v>2026</v>
      </c>
      <c r="X206" t="s">
        <v>107</v>
      </c>
      <c r="Y206">
        <v>0</v>
      </c>
      <c r="Z206">
        <v>0</v>
      </c>
      <c r="AA206">
        <v>0</v>
      </c>
      <c r="AB206" t="s">
        <v>88</v>
      </c>
      <c r="AC206">
        <v>85</v>
      </c>
      <c r="AD206">
        <v>84669</v>
      </c>
      <c r="AE206" t="s">
        <v>108</v>
      </c>
      <c r="AF206">
        <v>1825.9</v>
      </c>
      <c r="AG206">
        <v>5050.3500000000004</v>
      </c>
      <c r="AH206">
        <v>0</v>
      </c>
      <c r="AI206">
        <v>150000</v>
      </c>
      <c r="AJ206">
        <v>0</v>
      </c>
      <c r="AK206">
        <v>150000</v>
      </c>
      <c r="AL206">
        <v>10000</v>
      </c>
      <c r="AM206">
        <v>10000</v>
      </c>
      <c r="AN206">
        <v>521.69000000000005</v>
      </c>
      <c r="AO206">
        <v>0</v>
      </c>
      <c r="AP206">
        <v>130.41999999999999</v>
      </c>
      <c r="AQ206">
        <v>65.209999999999994</v>
      </c>
      <c r="AR206">
        <v>65.209999999999994</v>
      </c>
      <c r="AS206" t="s">
        <v>86</v>
      </c>
      <c r="AT206" t="s">
        <v>86</v>
      </c>
      <c r="AU206">
        <v>0</v>
      </c>
      <c r="AV206">
        <v>0</v>
      </c>
    </row>
    <row r="207" spans="1:48" x14ac:dyDescent="0.3">
      <c r="A207">
        <v>4228</v>
      </c>
      <c r="B207" t="s">
        <v>104</v>
      </c>
      <c r="C207" t="s">
        <v>658</v>
      </c>
      <c r="D207" t="s">
        <v>659</v>
      </c>
      <c r="E207" t="s">
        <v>105</v>
      </c>
      <c r="F207" t="s">
        <v>149</v>
      </c>
      <c r="G207" t="s">
        <v>150</v>
      </c>
      <c r="H207">
        <v>0</v>
      </c>
      <c r="I207">
        <v>0</v>
      </c>
      <c r="J207" t="s">
        <v>106</v>
      </c>
      <c r="K207" t="s">
        <v>106</v>
      </c>
      <c r="N207" s="9">
        <v>46140</v>
      </c>
      <c r="O207">
        <v>10681</v>
      </c>
      <c r="P207">
        <v>1</v>
      </c>
      <c r="Q207">
        <v>30</v>
      </c>
      <c r="R207" t="s">
        <v>86</v>
      </c>
      <c r="S207" t="s">
        <v>87</v>
      </c>
      <c r="T207" t="s">
        <v>89</v>
      </c>
      <c r="U207" t="s">
        <v>839</v>
      </c>
      <c r="V207">
        <v>2026</v>
      </c>
      <c r="W207">
        <v>2026</v>
      </c>
      <c r="X207" t="s">
        <v>107</v>
      </c>
      <c r="Y207">
        <v>0</v>
      </c>
      <c r="Z207">
        <v>0</v>
      </c>
      <c r="AA207">
        <v>0</v>
      </c>
      <c r="AB207" t="s">
        <v>88</v>
      </c>
      <c r="AC207">
        <v>85</v>
      </c>
      <c r="AD207">
        <v>84669</v>
      </c>
      <c r="AE207" t="s">
        <v>108</v>
      </c>
      <c r="AF207">
        <v>1825.9</v>
      </c>
      <c r="AG207">
        <v>5050.3500000000004</v>
      </c>
      <c r="AH207">
        <v>0</v>
      </c>
      <c r="AI207">
        <v>150000</v>
      </c>
      <c r="AJ207">
        <v>0</v>
      </c>
      <c r="AK207">
        <v>150000</v>
      </c>
      <c r="AL207">
        <v>10000</v>
      </c>
      <c r="AM207">
        <v>10000</v>
      </c>
      <c r="AN207">
        <v>521.69000000000005</v>
      </c>
      <c r="AO207">
        <v>0</v>
      </c>
      <c r="AP207">
        <v>130.41999999999999</v>
      </c>
      <c r="AQ207">
        <v>65.209999999999994</v>
      </c>
      <c r="AR207">
        <v>65.209999999999994</v>
      </c>
      <c r="AS207" t="s">
        <v>86</v>
      </c>
      <c r="AT207" t="s">
        <v>86</v>
      </c>
      <c r="AU207">
        <v>0</v>
      </c>
      <c r="AV207">
        <v>0</v>
      </c>
    </row>
    <row r="208" spans="1:48" x14ac:dyDescent="0.3">
      <c r="A208">
        <v>4229</v>
      </c>
      <c r="B208" t="s">
        <v>104</v>
      </c>
      <c r="C208" t="s">
        <v>660</v>
      </c>
      <c r="D208" t="s">
        <v>661</v>
      </c>
      <c r="E208" t="s">
        <v>105</v>
      </c>
      <c r="F208" t="s">
        <v>97</v>
      </c>
      <c r="G208" t="s">
        <v>98</v>
      </c>
      <c r="H208">
        <v>0</v>
      </c>
      <c r="I208">
        <v>0</v>
      </c>
      <c r="J208" t="s">
        <v>106</v>
      </c>
      <c r="K208" t="s">
        <v>106</v>
      </c>
      <c r="N208" s="9">
        <v>46140</v>
      </c>
      <c r="O208">
        <v>10420</v>
      </c>
      <c r="P208">
        <v>8</v>
      </c>
      <c r="Q208">
        <v>42</v>
      </c>
      <c r="R208" t="s">
        <v>86</v>
      </c>
      <c r="S208" t="s">
        <v>87</v>
      </c>
      <c r="T208" t="s">
        <v>102</v>
      </c>
      <c r="U208" t="s">
        <v>838</v>
      </c>
      <c r="V208">
        <v>2025</v>
      </c>
      <c r="W208">
        <v>2026</v>
      </c>
      <c r="X208" t="s">
        <v>107</v>
      </c>
      <c r="Y208">
        <v>0</v>
      </c>
      <c r="Z208">
        <v>0</v>
      </c>
      <c r="AA208">
        <v>0</v>
      </c>
      <c r="AB208" t="s">
        <v>101</v>
      </c>
      <c r="AC208">
        <v>85</v>
      </c>
      <c r="AD208">
        <v>112451</v>
      </c>
      <c r="AE208" t="s">
        <v>117</v>
      </c>
      <c r="AF208">
        <v>1675.54</v>
      </c>
      <c r="AG208">
        <v>7049</v>
      </c>
      <c r="AH208">
        <v>0</v>
      </c>
      <c r="AI208">
        <v>1000000</v>
      </c>
      <c r="AJ208">
        <v>200000</v>
      </c>
      <c r="AK208">
        <v>1000000</v>
      </c>
      <c r="AL208">
        <v>10000</v>
      </c>
      <c r="AM208">
        <v>10000</v>
      </c>
      <c r="AN208">
        <v>450.37</v>
      </c>
      <c r="AO208">
        <v>450.37</v>
      </c>
      <c r="AP208">
        <v>112.59</v>
      </c>
      <c r="AQ208">
        <v>56.3</v>
      </c>
      <c r="AR208">
        <v>56.3</v>
      </c>
      <c r="AS208" t="s">
        <v>86</v>
      </c>
      <c r="AT208" t="s">
        <v>86</v>
      </c>
      <c r="AU208">
        <v>0</v>
      </c>
      <c r="AV208">
        <v>0</v>
      </c>
    </row>
    <row r="209" spans="1:48" x14ac:dyDescent="0.3">
      <c r="A209">
        <v>4230</v>
      </c>
      <c r="B209" t="s">
        <v>104</v>
      </c>
      <c r="C209" t="s">
        <v>662</v>
      </c>
      <c r="D209" t="s">
        <v>663</v>
      </c>
      <c r="E209" t="s">
        <v>105</v>
      </c>
      <c r="F209" t="s">
        <v>97</v>
      </c>
      <c r="G209" t="s">
        <v>98</v>
      </c>
      <c r="H209">
        <v>0</v>
      </c>
      <c r="I209">
        <v>0</v>
      </c>
      <c r="J209" t="s">
        <v>106</v>
      </c>
      <c r="K209" t="s">
        <v>106</v>
      </c>
      <c r="N209" s="9">
        <v>46140</v>
      </c>
      <c r="O209">
        <v>10420</v>
      </c>
      <c r="P209">
        <v>8</v>
      </c>
      <c r="Q209">
        <v>43</v>
      </c>
      <c r="R209" t="s">
        <v>86</v>
      </c>
      <c r="S209" t="s">
        <v>87</v>
      </c>
      <c r="T209" t="s">
        <v>102</v>
      </c>
      <c r="U209" t="s">
        <v>838</v>
      </c>
      <c r="V209">
        <v>2025</v>
      </c>
      <c r="W209">
        <v>2026</v>
      </c>
      <c r="X209" t="s">
        <v>107</v>
      </c>
      <c r="Y209">
        <v>0</v>
      </c>
      <c r="Z209">
        <v>0</v>
      </c>
      <c r="AA209">
        <v>0</v>
      </c>
      <c r="AB209" t="s">
        <v>101</v>
      </c>
      <c r="AC209">
        <v>85</v>
      </c>
      <c r="AD209">
        <v>112451</v>
      </c>
      <c r="AE209" t="s">
        <v>117</v>
      </c>
      <c r="AF209">
        <v>1675.54</v>
      </c>
      <c r="AG209">
        <v>7049</v>
      </c>
      <c r="AH209">
        <v>0</v>
      </c>
      <c r="AI209">
        <v>1000000</v>
      </c>
      <c r="AJ209">
        <v>200000</v>
      </c>
      <c r="AK209">
        <v>1000000</v>
      </c>
      <c r="AL209">
        <v>10000</v>
      </c>
      <c r="AM209">
        <v>10000</v>
      </c>
      <c r="AN209">
        <v>450.37</v>
      </c>
      <c r="AO209">
        <v>450.37</v>
      </c>
      <c r="AP209">
        <v>112.59</v>
      </c>
      <c r="AQ209">
        <v>56.3</v>
      </c>
      <c r="AR209">
        <v>56.3</v>
      </c>
      <c r="AS209" t="s">
        <v>86</v>
      </c>
      <c r="AT209" t="s">
        <v>86</v>
      </c>
      <c r="AU209">
        <v>0</v>
      </c>
      <c r="AV209">
        <v>0</v>
      </c>
    </row>
    <row r="210" spans="1:48" x14ac:dyDescent="0.3">
      <c r="A210">
        <v>4231</v>
      </c>
      <c r="B210" t="s">
        <v>104</v>
      </c>
      <c r="C210" t="s">
        <v>664</v>
      </c>
      <c r="D210" t="s">
        <v>665</v>
      </c>
      <c r="E210" t="s">
        <v>105</v>
      </c>
      <c r="F210" t="s">
        <v>97</v>
      </c>
      <c r="G210" t="s">
        <v>98</v>
      </c>
      <c r="H210">
        <v>0</v>
      </c>
      <c r="I210">
        <v>0</v>
      </c>
      <c r="J210" t="s">
        <v>106</v>
      </c>
      <c r="K210" t="s">
        <v>106</v>
      </c>
      <c r="N210" s="9">
        <v>46140</v>
      </c>
      <c r="O210">
        <v>10420</v>
      </c>
      <c r="P210">
        <v>8</v>
      </c>
      <c r="Q210">
        <v>44</v>
      </c>
      <c r="R210" t="s">
        <v>86</v>
      </c>
      <c r="S210" t="s">
        <v>87</v>
      </c>
      <c r="T210" t="s">
        <v>102</v>
      </c>
      <c r="U210" t="s">
        <v>838</v>
      </c>
      <c r="V210">
        <v>2025</v>
      </c>
      <c r="W210">
        <v>2026</v>
      </c>
      <c r="X210" t="s">
        <v>107</v>
      </c>
      <c r="Y210">
        <v>0</v>
      </c>
      <c r="Z210">
        <v>0</v>
      </c>
      <c r="AA210">
        <v>0</v>
      </c>
      <c r="AB210" t="s">
        <v>101</v>
      </c>
      <c r="AC210">
        <v>85</v>
      </c>
      <c r="AD210">
        <v>112451</v>
      </c>
      <c r="AE210" t="s">
        <v>117</v>
      </c>
      <c r="AF210">
        <v>1675.54</v>
      </c>
      <c r="AG210">
        <v>7049</v>
      </c>
      <c r="AH210">
        <v>0</v>
      </c>
      <c r="AI210">
        <v>1000000</v>
      </c>
      <c r="AJ210">
        <v>200000</v>
      </c>
      <c r="AK210">
        <v>1000000</v>
      </c>
      <c r="AL210">
        <v>10000</v>
      </c>
      <c r="AM210">
        <v>10000</v>
      </c>
      <c r="AN210">
        <v>450.37</v>
      </c>
      <c r="AO210">
        <v>450.37</v>
      </c>
      <c r="AP210">
        <v>112.59</v>
      </c>
      <c r="AQ210">
        <v>56.3</v>
      </c>
      <c r="AR210">
        <v>56.3</v>
      </c>
      <c r="AS210" t="s">
        <v>86</v>
      </c>
      <c r="AT210" t="s">
        <v>86</v>
      </c>
      <c r="AU210">
        <v>0</v>
      </c>
      <c r="AV210">
        <v>0</v>
      </c>
    </row>
    <row r="211" spans="1:48" x14ac:dyDescent="0.3">
      <c r="A211">
        <v>4232</v>
      </c>
      <c r="B211" t="s">
        <v>104</v>
      </c>
      <c r="C211" t="s">
        <v>666</v>
      </c>
      <c r="D211" t="s">
        <v>667</v>
      </c>
      <c r="E211" t="s">
        <v>105</v>
      </c>
      <c r="F211" t="s">
        <v>97</v>
      </c>
      <c r="G211" t="s">
        <v>98</v>
      </c>
      <c r="H211">
        <v>0</v>
      </c>
      <c r="I211">
        <v>0</v>
      </c>
      <c r="J211" t="s">
        <v>106</v>
      </c>
      <c r="K211" t="s">
        <v>106</v>
      </c>
      <c r="N211" s="9">
        <v>46140</v>
      </c>
      <c r="O211">
        <v>10420</v>
      </c>
      <c r="P211">
        <v>8</v>
      </c>
      <c r="Q211">
        <v>45</v>
      </c>
      <c r="R211" t="s">
        <v>86</v>
      </c>
      <c r="S211" t="s">
        <v>87</v>
      </c>
      <c r="T211" t="s">
        <v>102</v>
      </c>
      <c r="U211" t="s">
        <v>838</v>
      </c>
      <c r="V211">
        <v>2025</v>
      </c>
      <c r="W211">
        <v>2026</v>
      </c>
      <c r="X211" t="s">
        <v>107</v>
      </c>
      <c r="Y211">
        <v>0</v>
      </c>
      <c r="Z211">
        <v>0</v>
      </c>
      <c r="AA211">
        <v>0</v>
      </c>
      <c r="AB211" t="s">
        <v>101</v>
      </c>
      <c r="AC211">
        <v>85</v>
      </c>
      <c r="AD211">
        <v>112451</v>
      </c>
      <c r="AE211" t="s">
        <v>117</v>
      </c>
      <c r="AF211">
        <v>1675.54</v>
      </c>
      <c r="AG211">
        <v>7049</v>
      </c>
      <c r="AH211">
        <v>0</v>
      </c>
      <c r="AI211">
        <v>1000000</v>
      </c>
      <c r="AJ211">
        <v>200000</v>
      </c>
      <c r="AK211">
        <v>1000000</v>
      </c>
      <c r="AL211">
        <v>10000</v>
      </c>
      <c r="AM211">
        <v>10000</v>
      </c>
      <c r="AN211">
        <v>450.37</v>
      </c>
      <c r="AO211">
        <v>450.37</v>
      </c>
      <c r="AP211">
        <v>112.59</v>
      </c>
      <c r="AQ211">
        <v>56.3</v>
      </c>
      <c r="AR211">
        <v>56.3</v>
      </c>
      <c r="AS211" t="s">
        <v>86</v>
      </c>
      <c r="AT211" t="s">
        <v>86</v>
      </c>
      <c r="AU211">
        <v>0</v>
      </c>
      <c r="AV211">
        <v>0</v>
      </c>
    </row>
    <row r="212" spans="1:48" x14ac:dyDescent="0.3">
      <c r="A212">
        <v>4233</v>
      </c>
      <c r="B212" t="s">
        <v>104</v>
      </c>
      <c r="C212" t="s">
        <v>668</v>
      </c>
      <c r="D212" t="s">
        <v>669</v>
      </c>
      <c r="E212" t="s">
        <v>105</v>
      </c>
      <c r="F212" t="s">
        <v>97</v>
      </c>
      <c r="G212" t="s">
        <v>98</v>
      </c>
      <c r="H212">
        <v>0</v>
      </c>
      <c r="I212">
        <v>0</v>
      </c>
      <c r="J212" t="s">
        <v>106</v>
      </c>
      <c r="K212" t="s">
        <v>106</v>
      </c>
      <c r="N212" s="9">
        <v>46140</v>
      </c>
      <c r="O212">
        <v>10420</v>
      </c>
      <c r="P212">
        <v>8</v>
      </c>
      <c r="Q212">
        <v>46</v>
      </c>
      <c r="R212" t="s">
        <v>86</v>
      </c>
      <c r="S212" t="s">
        <v>87</v>
      </c>
      <c r="T212" t="s">
        <v>102</v>
      </c>
      <c r="U212" t="s">
        <v>838</v>
      </c>
      <c r="V212">
        <v>2025</v>
      </c>
      <c r="W212">
        <v>2026</v>
      </c>
      <c r="X212" t="s">
        <v>107</v>
      </c>
      <c r="Y212">
        <v>0</v>
      </c>
      <c r="Z212">
        <v>0</v>
      </c>
      <c r="AA212">
        <v>0</v>
      </c>
      <c r="AB212" t="s">
        <v>101</v>
      </c>
      <c r="AC212">
        <v>85</v>
      </c>
      <c r="AD212">
        <v>112451</v>
      </c>
      <c r="AE212" t="s">
        <v>117</v>
      </c>
      <c r="AF212">
        <v>1675.54</v>
      </c>
      <c r="AG212">
        <v>7049</v>
      </c>
      <c r="AH212">
        <v>0</v>
      </c>
      <c r="AI212">
        <v>1000000</v>
      </c>
      <c r="AJ212">
        <v>200000</v>
      </c>
      <c r="AK212">
        <v>1000000</v>
      </c>
      <c r="AL212">
        <v>10000</v>
      </c>
      <c r="AM212">
        <v>10000</v>
      </c>
      <c r="AN212">
        <v>450.37</v>
      </c>
      <c r="AO212">
        <v>450.37</v>
      </c>
      <c r="AP212">
        <v>112.59</v>
      </c>
      <c r="AQ212">
        <v>56.3</v>
      </c>
      <c r="AR212">
        <v>56.3</v>
      </c>
      <c r="AS212" t="s">
        <v>86</v>
      </c>
      <c r="AT212" t="s">
        <v>86</v>
      </c>
      <c r="AU212">
        <v>0</v>
      </c>
      <c r="AV212">
        <v>0</v>
      </c>
    </row>
    <row r="213" spans="1:48" x14ac:dyDescent="0.3">
      <c r="A213">
        <v>4234</v>
      </c>
      <c r="B213" t="s">
        <v>104</v>
      </c>
      <c r="C213" t="s">
        <v>670</v>
      </c>
      <c r="D213" t="s">
        <v>671</v>
      </c>
      <c r="E213" t="s">
        <v>105</v>
      </c>
      <c r="F213" t="s">
        <v>97</v>
      </c>
      <c r="G213" t="s">
        <v>98</v>
      </c>
      <c r="H213">
        <v>0</v>
      </c>
      <c r="I213">
        <v>0</v>
      </c>
      <c r="J213" t="s">
        <v>106</v>
      </c>
      <c r="K213" t="s">
        <v>106</v>
      </c>
      <c r="N213" s="9">
        <v>46140</v>
      </c>
      <c r="O213">
        <v>10420</v>
      </c>
      <c r="P213">
        <v>8</v>
      </c>
      <c r="Q213">
        <v>47</v>
      </c>
      <c r="R213" t="s">
        <v>86</v>
      </c>
      <c r="S213" t="s">
        <v>87</v>
      </c>
      <c r="T213" t="s">
        <v>102</v>
      </c>
      <c r="U213" t="s">
        <v>838</v>
      </c>
      <c r="V213">
        <v>2025</v>
      </c>
      <c r="W213">
        <v>2026</v>
      </c>
      <c r="X213" t="s">
        <v>107</v>
      </c>
      <c r="Y213">
        <v>0</v>
      </c>
      <c r="Z213">
        <v>0</v>
      </c>
      <c r="AA213">
        <v>0</v>
      </c>
      <c r="AB213" t="s">
        <v>101</v>
      </c>
      <c r="AC213">
        <v>85</v>
      </c>
      <c r="AD213">
        <v>112451</v>
      </c>
      <c r="AE213" t="s">
        <v>117</v>
      </c>
      <c r="AF213">
        <v>1675.54</v>
      </c>
      <c r="AG213">
        <v>7049</v>
      </c>
      <c r="AH213">
        <v>0</v>
      </c>
      <c r="AI213">
        <v>1000000</v>
      </c>
      <c r="AJ213">
        <v>200000</v>
      </c>
      <c r="AK213">
        <v>1000000</v>
      </c>
      <c r="AL213">
        <v>10000</v>
      </c>
      <c r="AM213">
        <v>10000</v>
      </c>
      <c r="AN213">
        <v>450.37</v>
      </c>
      <c r="AO213">
        <v>450.37</v>
      </c>
      <c r="AP213">
        <v>112.59</v>
      </c>
      <c r="AQ213">
        <v>56.3</v>
      </c>
      <c r="AR213">
        <v>56.3</v>
      </c>
      <c r="AS213" t="s">
        <v>86</v>
      </c>
      <c r="AT213" t="s">
        <v>86</v>
      </c>
      <c r="AU213">
        <v>0</v>
      </c>
      <c r="AV213">
        <v>0</v>
      </c>
    </row>
    <row r="214" spans="1:48" x14ac:dyDescent="0.3">
      <c r="A214">
        <v>4235</v>
      </c>
      <c r="B214" t="s">
        <v>104</v>
      </c>
      <c r="C214" t="s">
        <v>672</v>
      </c>
      <c r="D214" t="s">
        <v>673</v>
      </c>
      <c r="E214" t="s">
        <v>105</v>
      </c>
      <c r="F214" t="s">
        <v>97</v>
      </c>
      <c r="G214" t="s">
        <v>98</v>
      </c>
      <c r="H214">
        <v>0</v>
      </c>
      <c r="I214">
        <v>0</v>
      </c>
      <c r="J214" t="s">
        <v>106</v>
      </c>
      <c r="K214" t="s">
        <v>106</v>
      </c>
      <c r="N214" s="9">
        <v>46140</v>
      </c>
      <c r="O214">
        <v>10420</v>
      </c>
      <c r="P214">
        <v>8</v>
      </c>
      <c r="Q214">
        <v>48</v>
      </c>
      <c r="R214" t="s">
        <v>86</v>
      </c>
      <c r="S214" t="s">
        <v>87</v>
      </c>
      <c r="T214" t="s">
        <v>102</v>
      </c>
      <c r="U214" t="s">
        <v>838</v>
      </c>
      <c r="V214">
        <v>2025</v>
      </c>
      <c r="W214">
        <v>2026</v>
      </c>
      <c r="X214" t="s">
        <v>107</v>
      </c>
      <c r="Y214">
        <v>0</v>
      </c>
      <c r="Z214">
        <v>0</v>
      </c>
      <c r="AA214">
        <v>0</v>
      </c>
      <c r="AB214" t="s">
        <v>101</v>
      </c>
      <c r="AC214">
        <v>85</v>
      </c>
      <c r="AD214">
        <v>112451</v>
      </c>
      <c r="AE214" t="s">
        <v>117</v>
      </c>
      <c r="AF214">
        <v>1675.54</v>
      </c>
      <c r="AG214">
        <v>7049</v>
      </c>
      <c r="AH214">
        <v>0</v>
      </c>
      <c r="AI214">
        <v>1000000</v>
      </c>
      <c r="AJ214">
        <v>200000</v>
      </c>
      <c r="AK214">
        <v>1000000</v>
      </c>
      <c r="AL214">
        <v>10000</v>
      </c>
      <c r="AM214">
        <v>10000</v>
      </c>
      <c r="AN214">
        <v>450.37</v>
      </c>
      <c r="AO214">
        <v>450.37</v>
      </c>
      <c r="AP214">
        <v>112.59</v>
      </c>
      <c r="AQ214">
        <v>56.3</v>
      </c>
      <c r="AR214">
        <v>56.3</v>
      </c>
      <c r="AS214" t="s">
        <v>86</v>
      </c>
      <c r="AT214" t="s">
        <v>86</v>
      </c>
      <c r="AU214">
        <v>0</v>
      </c>
      <c r="AV214">
        <v>0</v>
      </c>
    </row>
    <row r="215" spans="1:48" x14ac:dyDescent="0.3">
      <c r="A215">
        <v>4236</v>
      </c>
      <c r="B215" t="s">
        <v>104</v>
      </c>
      <c r="C215" t="s">
        <v>674</v>
      </c>
      <c r="D215" t="s">
        <v>675</v>
      </c>
      <c r="E215" t="s">
        <v>105</v>
      </c>
      <c r="F215" t="s">
        <v>97</v>
      </c>
      <c r="G215" t="s">
        <v>98</v>
      </c>
      <c r="H215">
        <v>0</v>
      </c>
      <c r="I215">
        <v>0</v>
      </c>
      <c r="J215" t="s">
        <v>106</v>
      </c>
      <c r="K215" t="s">
        <v>106</v>
      </c>
      <c r="N215" s="9">
        <v>46140</v>
      </c>
      <c r="O215">
        <v>10420</v>
      </c>
      <c r="P215">
        <v>8</v>
      </c>
      <c r="Q215">
        <v>49</v>
      </c>
      <c r="R215" t="s">
        <v>86</v>
      </c>
      <c r="S215" t="s">
        <v>87</v>
      </c>
      <c r="T215" t="s">
        <v>102</v>
      </c>
      <c r="U215" t="s">
        <v>838</v>
      </c>
      <c r="V215">
        <v>2025</v>
      </c>
      <c r="W215">
        <v>2026</v>
      </c>
      <c r="X215" t="s">
        <v>107</v>
      </c>
      <c r="Y215">
        <v>0</v>
      </c>
      <c r="Z215">
        <v>0</v>
      </c>
      <c r="AA215">
        <v>0</v>
      </c>
      <c r="AB215" t="s">
        <v>101</v>
      </c>
      <c r="AC215">
        <v>85</v>
      </c>
      <c r="AD215">
        <v>112451</v>
      </c>
      <c r="AE215" t="s">
        <v>117</v>
      </c>
      <c r="AF215">
        <v>1675.54</v>
      </c>
      <c r="AG215">
        <v>7049</v>
      </c>
      <c r="AH215">
        <v>0</v>
      </c>
      <c r="AI215">
        <v>1000000</v>
      </c>
      <c r="AJ215">
        <v>200000</v>
      </c>
      <c r="AK215">
        <v>1000000</v>
      </c>
      <c r="AL215">
        <v>10000</v>
      </c>
      <c r="AM215">
        <v>10000</v>
      </c>
      <c r="AN215">
        <v>450.37</v>
      </c>
      <c r="AO215">
        <v>450.37</v>
      </c>
      <c r="AP215">
        <v>112.59</v>
      </c>
      <c r="AQ215">
        <v>56.3</v>
      </c>
      <c r="AR215">
        <v>56.3</v>
      </c>
      <c r="AS215" t="s">
        <v>86</v>
      </c>
      <c r="AT215" t="s">
        <v>86</v>
      </c>
      <c r="AU215">
        <v>0</v>
      </c>
      <c r="AV215">
        <v>0</v>
      </c>
    </row>
    <row r="216" spans="1:48" x14ac:dyDescent="0.3">
      <c r="A216">
        <v>4237</v>
      </c>
      <c r="B216" t="s">
        <v>104</v>
      </c>
      <c r="C216" t="s">
        <v>676</v>
      </c>
      <c r="D216" t="s">
        <v>677</v>
      </c>
      <c r="E216" t="s">
        <v>105</v>
      </c>
      <c r="F216" t="s">
        <v>97</v>
      </c>
      <c r="G216" t="s">
        <v>98</v>
      </c>
      <c r="H216">
        <v>0</v>
      </c>
      <c r="I216">
        <v>0</v>
      </c>
      <c r="J216" t="s">
        <v>106</v>
      </c>
      <c r="K216" t="s">
        <v>106</v>
      </c>
      <c r="N216" s="9">
        <v>46140</v>
      </c>
      <c r="O216">
        <v>10420</v>
      </c>
      <c r="P216">
        <v>8</v>
      </c>
      <c r="Q216">
        <v>50</v>
      </c>
      <c r="R216" t="s">
        <v>86</v>
      </c>
      <c r="S216" t="s">
        <v>87</v>
      </c>
      <c r="T216" t="s">
        <v>102</v>
      </c>
      <c r="U216" t="s">
        <v>838</v>
      </c>
      <c r="V216">
        <v>2025</v>
      </c>
      <c r="W216">
        <v>2026</v>
      </c>
      <c r="X216" t="s">
        <v>107</v>
      </c>
      <c r="Y216">
        <v>0</v>
      </c>
      <c r="Z216">
        <v>0</v>
      </c>
      <c r="AA216">
        <v>0</v>
      </c>
      <c r="AB216" t="s">
        <v>101</v>
      </c>
      <c r="AC216">
        <v>85</v>
      </c>
      <c r="AD216">
        <v>112451</v>
      </c>
      <c r="AE216" t="s">
        <v>117</v>
      </c>
      <c r="AF216">
        <v>1675.54</v>
      </c>
      <c r="AG216">
        <v>7049</v>
      </c>
      <c r="AH216">
        <v>0</v>
      </c>
      <c r="AI216">
        <v>1000000</v>
      </c>
      <c r="AJ216">
        <v>200000</v>
      </c>
      <c r="AK216">
        <v>1000000</v>
      </c>
      <c r="AL216">
        <v>10000</v>
      </c>
      <c r="AM216">
        <v>10000</v>
      </c>
      <c r="AN216">
        <v>450.37</v>
      </c>
      <c r="AO216">
        <v>450.37</v>
      </c>
      <c r="AP216">
        <v>112.59</v>
      </c>
      <c r="AQ216">
        <v>56.3</v>
      </c>
      <c r="AR216">
        <v>56.3</v>
      </c>
      <c r="AS216" t="s">
        <v>86</v>
      </c>
      <c r="AT216" t="s">
        <v>86</v>
      </c>
      <c r="AU216">
        <v>0</v>
      </c>
      <c r="AV216">
        <v>0</v>
      </c>
    </row>
    <row r="217" spans="1:48" x14ac:dyDescent="0.3">
      <c r="A217">
        <v>4238</v>
      </c>
      <c r="B217" t="s">
        <v>104</v>
      </c>
      <c r="C217" t="s">
        <v>678</v>
      </c>
      <c r="D217" t="s">
        <v>679</v>
      </c>
      <c r="E217" t="s">
        <v>105</v>
      </c>
      <c r="F217" t="s">
        <v>97</v>
      </c>
      <c r="G217" t="s">
        <v>98</v>
      </c>
      <c r="H217">
        <v>0</v>
      </c>
      <c r="I217">
        <v>0</v>
      </c>
      <c r="J217" t="s">
        <v>106</v>
      </c>
      <c r="K217" t="s">
        <v>106</v>
      </c>
      <c r="N217" s="9">
        <v>46140</v>
      </c>
      <c r="O217">
        <v>10420</v>
      </c>
      <c r="P217">
        <v>9</v>
      </c>
      <c r="Q217">
        <v>129</v>
      </c>
      <c r="R217" t="s">
        <v>86</v>
      </c>
      <c r="S217" t="s">
        <v>87</v>
      </c>
      <c r="T217" t="s">
        <v>99</v>
      </c>
      <c r="U217" t="s">
        <v>837</v>
      </c>
      <c r="V217">
        <v>2026</v>
      </c>
      <c r="W217">
        <v>2026</v>
      </c>
      <c r="X217" t="s">
        <v>107</v>
      </c>
      <c r="Y217">
        <v>0</v>
      </c>
      <c r="Z217">
        <v>0</v>
      </c>
      <c r="AA217">
        <v>0</v>
      </c>
      <c r="AB217" t="s">
        <v>101</v>
      </c>
      <c r="AC217">
        <v>85</v>
      </c>
      <c r="AD217">
        <v>133248</v>
      </c>
      <c r="AE217" t="s">
        <v>117</v>
      </c>
      <c r="AF217">
        <v>1675.54</v>
      </c>
      <c r="AG217">
        <v>7049</v>
      </c>
      <c r="AH217">
        <v>0</v>
      </c>
      <c r="AI217">
        <v>1000000</v>
      </c>
      <c r="AJ217">
        <v>200000</v>
      </c>
      <c r="AK217">
        <v>1000000</v>
      </c>
      <c r="AL217">
        <v>10000</v>
      </c>
      <c r="AM217">
        <v>10000</v>
      </c>
      <c r="AN217">
        <v>450.37</v>
      </c>
      <c r="AO217">
        <v>450.37</v>
      </c>
      <c r="AP217">
        <v>112.59</v>
      </c>
      <c r="AQ217">
        <v>56.3</v>
      </c>
      <c r="AR217">
        <v>56.3</v>
      </c>
      <c r="AS217" t="s">
        <v>86</v>
      </c>
      <c r="AT217" t="s">
        <v>86</v>
      </c>
      <c r="AU217">
        <v>0</v>
      </c>
      <c r="AV217">
        <v>0</v>
      </c>
    </row>
    <row r="218" spans="1:48" x14ac:dyDescent="0.3">
      <c r="A218">
        <v>4239</v>
      </c>
      <c r="B218" t="s">
        <v>104</v>
      </c>
      <c r="C218" t="s">
        <v>680</v>
      </c>
      <c r="D218" t="s">
        <v>681</v>
      </c>
      <c r="E218" t="s">
        <v>105</v>
      </c>
      <c r="F218" t="s">
        <v>97</v>
      </c>
      <c r="G218" t="s">
        <v>98</v>
      </c>
      <c r="H218">
        <v>0</v>
      </c>
      <c r="I218">
        <v>0</v>
      </c>
      <c r="J218" t="s">
        <v>106</v>
      </c>
      <c r="K218" t="s">
        <v>106</v>
      </c>
      <c r="N218" s="9">
        <v>46140</v>
      </c>
      <c r="O218">
        <v>10420</v>
      </c>
      <c r="P218">
        <v>9</v>
      </c>
      <c r="Q218">
        <v>130</v>
      </c>
      <c r="R218" t="s">
        <v>86</v>
      </c>
      <c r="S218" t="s">
        <v>87</v>
      </c>
      <c r="T218" t="s">
        <v>99</v>
      </c>
      <c r="U218" t="s">
        <v>837</v>
      </c>
      <c r="V218">
        <v>2026</v>
      </c>
      <c r="W218">
        <v>2026</v>
      </c>
      <c r="X218" t="s">
        <v>107</v>
      </c>
      <c r="Y218">
        <v>0</v>
      </c>
      <c r="Z218">
        <v>0</v>
      </c>
      <c r="AA218">
        <v>0</v>
      </c>
      <c r="AB218" t="s">
        <v>101</v>
      </c>
      <c r="AC218">
        <v>85</v>
      </c>
      <c r="AD218">
        <v>133248</v>
      </c>
      <c r="AE218" t="s">
        <v>117</v>
      </c>
      <c r="AF218">
        <v>1675.54</v>
      </c>
      <c r="AG218">
        <v>7049</v>
      </c>
      <c r="AH218">
        <v>0</v>
      </c>
      <c r="AI218">
        <v>1000000</v>
      </c>
      <c r="AJ218">
        <v>200000</v>
      </c>
      <c r="AK218">
        <v>1000000</v>
      </c>
      <c r="AL218">
        <v>10000</v>
      </c>
      <c r="AM218">
        <v>10000</v>
      </c>
      <c r="AN218">
        <v>450.37</v>
      </c>
      <c r="AO218">
        <v>450.37</v>
      </c>
      <c r="AP218">
        <v>112.59</v>
      </c>
      <c r="AQ218">
        <v>56.3</v>
      </c>
      <c r="AR218">
        <v>56.3</v>
      </c>
      <c r="AS218" t="s">
        <v>86</v>
      </c>
      <c r="AT218" t="s">
        <v>86</v>
      </c>
      <c r="AU218">
        <v>0</v>
      </c>
      <c r="AV218">
        <v>0</v>
      </c>
    </row>
    <row r="219" spans="1:48" x14ac:dyDescent="0.3">
      <c r="A219">
        <v>4240</v>
      </c>
      <c r="B219" t="s">
        <v>104</v>
      </c>
      <c r="C219" t="s">
        <v>682</v>
      </c>
      <c r="D219" t="s">
        <v>683</v>
      </c>
      <c r="E219" t="s">
        <v>105</v>
      </c>
      <c r="F219" t="s">
        <v>97</v>
      </c>
      <c r="G219" t="s">
        <v>98</v>
      </c>
      <c r="H219">
        <v>0</v>
      </c>
      <c r="I219">
        <v>0</v>
      </c>
      <c r="J219" t="s">
        <v>106</v>
      </c>
      <c r="K219" t="s">
        <v>106</v>
      </c>
      <c r="N219" s="9">
        <v>46140</v>
      </c>
      <c r="O219">
        <v>10420</v>
      </c>
      <c r="P219">
        <v>9</v>
      </c>
      <c r="Q219">
        <v>131</v>
      </c>
      <c r="R219" t="s">
        <v>86</v>
      </c>
      <c r="S219" t="s">
        <v>87</v>
      </c>
      <c r="T219" t="s">
        <v>99</v>
      </c>
      <c r="U219" t="s">
        <v>837</v>
      </c>
      <c r="V219">
        <v>2026</v>
      </c>
      <c r="W219">
        <v>2026</v>
      </c>
      <c r="X219" t="s">
        <v>107</v>
      </c>
      <c r="Y219">
        <v>0</v>
      </c>
      <c r="Z219">
        <v>0</v>
      </c>
      <c r="AA219">
        <v>0</v>
      </c>
      <c r="AB219" t="s">
        <v>101</v>
      </c>
      <c r="AC219">
        <v>85</v>
      </c>
      <c r="AD219">
        <v>133248</v>
      </c>
      <c r="AE219" t="s">
        <v>117</v>
      </c>
      <c r="AF219">
        <v>1675.54</v>
      </c>
      <c r="AG219">
        <v>7049</v>
      </c>
      <c r="AH219">
        <v>0</v>
      </c>
      <c r="AI219">
        <v>1000000</v>
      </c>
      <c r="AJ219">
        <v>200000</v>
      </c>
      <c r="AK219">
        <v>1000000</v>
      </c>
      <c r="AL219">
        <v>10000</v>
      </c>
      <c r="AM219">
        <v>10000</v>
      </c>
      <c r="AN219">
        <v>450.37</v>
      </c>
      <c r="AO219">
        <v>450.37</v>
      </c>
      <c r="AP219">
        <v>112.59</v>
      </c>
      <c r="AQ219">
        <v>56.3</v>
      </c>
      <c r="AR219">
        <v>56.3</v>
      </c>
      <c r="AS219" t="s">
        <v>86</v>
      </c>
      <c r="AT219" t="s">
        <v>86</v>
      </c>
      <c r="AU219">
        <v>0</v>
      </c>
      <c r="AV219">
        <v>0</v>
      </c>
    </row>
    <row r="220" spans="1:48" x14ac:dyDescent="0.3">
      <c r="A220">
        <v>4241</v>
      </c>
      <c r="B220" t="s">
        <v>104</v>
      </c>
      <c r="C220" t="s">
        <v>684</v>
      </c>
      <c r="D220" t="s">
        <v>685</v>
      </c>
      <c r="E220" t="s">
        <v>105</v>
      </c>
      <c r="F220" t="s">
        <v>97</v>
      </c>
      <c r="G220" t="s">
        <v>98</v>
      </c>
      <c r="H220">
        <v>0</v>
      </c>
      <c r="I220">
        <v>0</v>
      </c>
      <c r="J220" t="s">
        <v>106</v>
      </c>
      <c r="K220" t="s">
        <v>106</v>
      </c>
      <c r="N220" s="9">
        <v>46140</v>
      </c>
      <c r="O220">
        <v>10420</v>
      </c>
      <c r="P220">
        <v>9</v>
      </c>
      <c r="Q220">
        <v>132</v>
      </c>
      <c r="R220" t="s">
        <v>86</v>
      </c>
      <c r="S220" t="s">
        <v>87</v>
      </c>
      <c r="T220" t="s">
        <v>99</v>
      </c>
      <c r="U220" t="s">
        <v>837</v>
      </c>
      <c r="V220">
        <v>2026</v>
      </c>
      <c r="W220">
        <v>2026</v>
      </c>
      <c r="X220" t="s">
        <v>107</v>
      </c>
      <c r="Y220">
        <v>0</v>
      </c>
      <c r="Z220">
        <v>0</v>
      </c>
      <c r="AA220">
        <v>0</v>
      </c>
      <c r="AB220" t="s">
        <v>101</v>
      </c>
      <c r="AC220">
        <v>85</v>
      </c>
      <c r="AD220">
        <v>133248</v>
      </c>
      <c r="AE220" t="s">
        <v>117</v>
      </c>
      <c r="AF220">
        <v>1675.54</v>
      </c>
      <c r="AG220">
        <v>7049</v>
      </c>
      <c r="AH220">
        <v>0</v>
      </c>
      <c r="AI220">
        <v>1000000</v>
      </c>
      <c r="AJ220">
        <v>200000</v>
      </c>
      <c r="AK220">
        <v>1000000</v>
      </c>
      <c r="AL220">
        <v>10000</v>
      </c>
      <c r="AM220">
        <v>10000</v>
      </c>
      <c r="AN220">
        <v>450.37</v>
      </c>
      <c r="AO220">
        <v>450.37</v>
      </c>
      <c r="AP220">
        <v>112.59</v>
      </c>
      <c r="AQ220">
        <v>56.3</v>
      </c>
      <c r="AR220">
        <v>56.3</v>
      </c>
      <c r="AS220" t="s">
        <v>86</v>
      </c>
      <c r="AT220" t="s">
        <v>86</v>
      </c>
      <c r="AU220">
        <v>0</v>
      </c>
      <c r="AV220">
        <v>0</v>
      </c>
    </row>
    <row r="221" spans="1:48" x14ac:dyDescent="0.3">
      <c r="A221">
        <v>4242</v>
      </c>
      <c r="B221" t="s">
        <v>104</v>
      </c>
      <c r="C221" t="s">
        <v>686</v>
      </c>
      <c r="D221" t="s">
        <v>687</v>
      </c>
      <c r="E221" t="s">
        <v>105</v>
      </c>
      <c r="F221" t="s">
        <v>97</v>
      </c>
      <c r="G221" t="s">
        <v>98</v>
      </c>
      <c r="H221">
        <v>0</v>
      </c>
      <c r="I221">
        <v>0</v>
      </c>
      <c r="J221" t="s">
        <v>106</v>
      </c>
      <c r="K221" t="s">
        <v>106</v>
      </c>
      <c r="N221" s="9">
        <v>46140</v>
      </c>
      <c r="O221">
        <v>10420</v>
      </c>
      <c r="P221">
        <v>9</v>
      </c>
      <c r="Q221">
        <v>133</v>
      </c>
      <c r="R221" t="s">
        <v>86</v>
      </c>
      <c r="S221" t="s">
        <v>87</v>
      </c>
      <c r="T221" t="s">
        <v>99</v>
      </c>
      <c r="U221" t="s">
        <v>837</v>
      </c>
      <c r="V221">
        <v>2026</v>
      </c>
      <c r="W221">
        <v>2026</v>
      </c>
      <c r="X221" t="s">
        <v>107</v>
      </c>
      <c r="Y221">
        <v>0</v>
      </c>
      <c r="Z221">
        <v>0</v>
      </c>
      <c r="AA221">
        <v>0</v>
      </c>
      <c r="AB221" t="s">
        <v>101</v>
      </c>
      <c r="AC221">
        <v>85</v>
      </c>
      <c r="AD221">
        <v>133248</v>
      </c>
      <c r="AE221" t="s">
        <v>117</v>
      </c>
      <c r="AF221">
        <v>1675.54</v>
      </c>
      <c r="AG221">
        <v>7049</v>
      </c>
      <c r="AH221">
        <v>0</v>
      </c>
      <c r="AI221">
        <v>1000000</v>
      </c>
      <c r="AJ221">
        <v>200000</v>
      </c>
      <c r="AK221">
        <v>1000000</v>
      </c>
      <c r="AL221">
        <v>10000</v>
      </c>
      <c r="AM221">
        <v>10000</v>
      </c>
      <c r="AN221">
        <v>450.37</v>
      </c>
      <c r="AO221">
        <v>450.37</v>
      </c>
      <c r="AP221">
        <v>112.59</v>
      </c>
      <c r="AQ221">
        <v>56.3</v>
      </c>
      <c r="AR221">
        <v>56.3</v>
      </c>
      <c r="AS221" t="s">
        <v>86</v>
      </c>
      <c r="AT221" t="s">
        <v>86</v>
      </c>
      <c r="AU221">
        <v>0</v>
      </c>
      <c r="AV221">
        <v>0</v>
      </c>
    </row>
    <row r="222" spans="1:48" x14ac:dyDescent="0.3">
      <c r="A222">
        <v>4243</v>
      </c>
      <c r="B222" t="s">
        <v>104</v>
      </c>
      <c r="C222" t="s">
        <v>688</v>
      </c>
      <c r="D222" t="s">
        <v>689</v>
      </c>
      <c r="E222" t="s">
        <v>105</v>
      </c>
      <c r="F222" t="s">
        <v>97</v>
      </c>
      <c r="G222" t="s">
        <v>98</v>
      </c>
      <c r="H222">
        <v>0</v>
      </c>
      <c r="I222">
        <v>0</v>
      </c>
      <c r="J222" t="s">
        <v>106</v>
      </c>
      <c r="K222" t="s">
        <v>106</v>
      </c>
      <c r="N222" s="9">
        <v>46140</v>
      </c>
      <c r="O222">
        <v>10420</v>
      </c>
      <c r="P222">
        <v>9</v>
      </c>
      <c r="Q222">
        <v>134</v>
      </c>
      <c r="R222" t="s">
        <v>86</v>
      </c>
      <c r="S222" t="s">
        <v>87</v>
      </c>
      <c r="T222" t="s">
        <v>99</v>
      </c>
      <c r="U222" t="s">
        <v>837</v>
      </c>
      <c r="V222">
        <v>2026</v>
      </c>
      <c r="W222">
        <v>2026</v>
      </c>
      <c r="X222" t="s">
        <v>107</v>
      </c>
      <c r="Y222">
        <v>0</v>
      </c>
      <c r="Z222">
        <v>0</v>
      </c>
      <c r="AA222">
        <v>0</v>
      </c>
      <c r="AB222" t="s">
        <v>101</v>
      </c>
      <c r="AC222">
        <v>85</v>
      </c>
      <c r="AD222">
        <v>133248</v>
      </c>
      <c r="AE222" t="s">
        <v>117</v>
      </c>
      <c r="AF222">
        <v>1675.54</v>
      </c>
      <c r="AG222">
        <v>7049</v>
      </c>
      <c r="AH222">
        <v>0</v>
      </c>
      <c r="AI222">
        <v>1000000</v>
      </c>
      <c r="AJ222">
        <v>200000</v>
      </c>
      <c r="AK222">
        <v>1000000</v>
      </c>
      <c r="AL222">
        <v>10000</v>
      </c>
      <c r="AM222">
        <v>10000</v>
      </c>
      <c r="AN222">
        <v>450.37</v>
      </c>
      <c r="AO222">
        <v>450.37</v>
      </c>
      <c r="AP222">
        <v>112.59</v>
      </c>
      <c r="AQ222">
        <v>56.3</v>
      </c>
      <c r="AR222">
        <v>56.3</v>
      </c>
      <c r="AS222" t="s">
        <v>86</v>
      </c>
      <c r="AT222" t="s">
        <v>86</v>
      </c>
      <c r="AU222">
        <v>0</v>
      </c>
      <c r="AV222">
        <v>0</v>
      </c>
    </row>
    <row r="223" spans="1:48" x14ac:dyDescent="0.3">
      <c r="A223">
        <v>4244</v>
      </c>
      <c r="B223" t="s">
        <v>104</v>
      </c>
      <c r="C223" t="s">
        <v>690</v>
      </c>
      <c r="D223" t="s">
        <v>691</v>
      </c>
      <c r="E223" t="s">
        <v>105</v>
      </c>
      <c r="F223" t="s">
        <v>97</v>
      </c>
      <c r="G223" t="s">
        <v>98</v>
      </c>
      <c r="H223">
        <v>0</v>
      </c>
      <c r="I223">
        <v>0</v>
      </c>
      <c r="J223" t="s">
        <v>106</v>
      </c>
      <c r="K223" t="s">
        <v>106</v>
      </c>
      <c r="N223" s="9">
        <v>46140</v>
      </c>
      <c r="O223">
        <v>10420</v>
      </c>
      <c r="P223">
        <v>9</v>
      </c>
      <c r="Q223">
        <v>135</v>
      </c>
      <c r="R223" t="s">
        <v>86</v>
      </c>
      <c r="S223" t="s">
        <v>87</v>
      </c>
      <c r="T223" t="s">
        <v>99</v>
      </c>
      <c r="U223" t="s">
        <v>837</v>
      </c>
      <c r="V223">
        <v>2026</v>
      </c>
      <c r="W223">
        <v>2026</v>
      </c>
      <c r="X223" t="s">
        <v>107</v>
      </c>
      <c r="Y223">
        <v>0</v>
      </c>
      <c r="Z223">
        <v>0</v>
      </c>
      <c r="AA223">
        <v>0</v>
      </c>
      <c r="AB223" t="s">
        <v>101</v>
      </c>
      <c r="AC223">
        <v>85</v>
      </c>
      <c r="AD223">
        <v>133248</v>
      </c>
      <c r="AE223" t="s">
        <v>117</v>
      </c>
      <c r="AF223">
        <v>1675.54</v>
      </c>
      <c r="AG223">
        <v>7049</v>
      </c>
      <c r="AH223">
        <v>0</v>
      </c>
      <c r="AI223">
        <v>1000000</v>
      </c>
      <c r="AJ223">
        <v>200000</v>
      </c>
      <c r="AK223">
        <v>1000000</v>
      </c>
      <c r="AL223">
        <v>10000</v>
      </c>
      <c r="AM223">
        <v>10000</v>
      </c>
      <c r="AN223">
        <v>450.37</v>
      </c>
      <c r="AO223">
        <v>450.37</v>
      </c>
      <c r="AP223">
        <v>112.59</v>
      </c>
      <c r="AQ223">
        <v>56.3</v>
      </c>
      <c r="AR223">
        <v>56.3</v>
      </c>
      <c r="AS223" t="s">
        <v>86</v>
      </c>
      <c r="AT223" t="s">
        <v>86</v>
      </c>
      <c r="AU223">
        <v>0</v>
      </c>
      <c r="AV223">
        <v>0</v>
      </c>
    </row>
    <row r="224" spans="1:48" x14ac:dyDescent="0.3">
      <c r="A224">
        <v>4245</v>
      </c>
      <c r="B224" t="s">
        <v>104</v>
      </c>
      <c r="C224" t="s">
        <v>692</v>
      </c>
      <c r="D224" t="s">
        <v>693</v>
      </c>
      <c r="E224" t="s">
        <v>105</v>
      </c>
      <c r="F224" t="s">
        <v>97</v>
      </c>
      <c r="G224" t="s">
        <v>98</v>
      </c>
      <c r="H224">
        <v>0</v>
      </c>
      <c r="I224">
        <v>0</v>
      </c>
      <c r="J224" t="s">
        <v>106</v>
      </c>
      <c r="K224" t="s">
        <v>106</v>
      </c>
      <c r="N224" s="9">
        <v>46140</v>
      </c>
      <c r="O224">
        <v>10420</v>
      </c>
      <c r="P224">
        <v>9</v>
      </c>
      <c r="Q224">
        <v>136</v>
      </c>
      <c r="R224" t="s">
        <v>86</v>
      </c>
      <c r="S224" t="s">
        <v>87</v>
      </c>
      <c r="T224" t="s">
        <v>99</v>
      </c>
      <c r="U224" t="s">
        <v>837</v>
      </c>
      <c r="V224">
        <v>2026</v>
      </c>
      <c r="W224">
        <v>2026</v>
      </c>
      <c r="X224" t="s">
        <v>107</v>
      </c>
      <c r="Y224">
        <v>0</v>
      </c>
      <c r="Z224">
        <v>0</v>
      </c>
      <c r="AA224">
        <v>0</v>
      </c>
      <c r="AB224" t="s">
        <v>101</v>
      </c>
      <c r="AC224">
        <v>85</v>
      </c>
      <c r="AD224">
        <v>133248</v>
      </c>
      <c r="AE224" t="s">
        <v>117</v>
      </c>
      <c r="AF224">
        <v>1675.54</v>
      </c>
      <c r="AG224">
        <v>7049</v>
      </c>
      <c r="AH224">
        <v>0</v>
      </c>
      <c r="AI224">
        <v>1000000</v>
      </c>
      <c r="AJ224">
        <v>200000</v>
      </c>
      <c r="AK224">
        <v>1000000</v>
      </c>
      <c r="AL224">
        <v>10000</v>
      </c>
      <c r="AM224">
        <v>10000</v>
      </c>
      <c r="AN224">
        <v>450.37</v>
      </c>
      <c r="AO224">
        <v>450.37</v>
      </c>
      <c r="AP224">
        <v>112.59</v>
      </c>
      <c r="AQ224">
        <v>56.3</v>
      </c>
      <c r="AR224">
        <v>56.3</v>
      </c>
      <c r="AS224" t="s">
        <v>86</v>
      </c>
      <c r="AT224" t="s">
        <v>86</v>
      </c>
      <c r="AU224">
        <v>0</v>
      </c>
      <c r="AV224">
        <v>0</v>
      </c>
    </row>
    <row r="225" spans="1:48" x14ac:dyDescent="0.3">
      <c r="A225">
        <v>4246</v>
      </c>
      <c r="B225" t="s">
        <v>104</v>
      </c>
      <c r="C225" t="s">
        <v>694</v>
      </c>
      <c r="D225" t="s">
        <v>695</v>
      </c>
      <c r="E225" t="s">
        <v>105</v>
      </c>
      <c r="F225" t="s">
        <v>97</v>
      </c>
      <c r="G225" t="s">
        <v>98</v>
      </c>
      <c r="H225">
        <v>0</v>
      </c>
      <c r="I225">
        <v>0</v>
      </c>
      <c r="J225" t="s">
        <v>106</v>
      </c>
      <c r="K225" t="s">
        <v>106</v>
      </c>
      <c r="N225" s="9">
        <v>46140</v>
      </c>
      <c r="O225">
        <v>10420</v>
      </c>
      <c r="P225">
        <v>9</v>
      </c>
      <c r="Q225">
        <v>137</v>
      </c>
      <c r="R225" t="s">
        <v>86</v>
      </c>
      <c r="S225" t="s">
        <v>87</v>
      </c>
      <c r="T225" t="s">
        <v>99</v>
      </c>
      <c r="U225" t="s">
        <v>837</v>
      </c>
      <c r="V225">
        <v>2026</v>
      </c>
      <c r="W225">
        <v>2026</v>
      </c>
      <c r="X225" t="s">
        <v>107</v>
      </c>
      <c r="Y225">
        <v>0</v>
      </c>
      <c r="Z225">
        <v>0</v>
      </c>
      <c r="AA225">
        <v>0</v>
      </c>
      <c r="AB225" t="s">
        <v>101</v>
      </c>
      <c r="AC225">
        <v>85</v>
      </c>
      <c r="AD225">
        <v>133248</v>
      </c>
      <c r="AE225" t="s">
        <v>117</v>
      </c>
      <c r="AF225">
        <v>1675.54</v>
      </c>
      <c r="AG225">
        <v>7049</v>
      </c>
      <c r="AH225">
        <v>0</v>
      </c>
      <c r="AI225">
        <v>1000000</v>
      </c>
      <c r="AJ225">
        <v>200000</v>
      </c>
      <c r="AK225">
        <v>1000000</v>
      </c>
      <c r="AL225">
        <v>10000</v>
      </c>
      <c r="AM225">
        <v>10000</v>
      </c>
      <c r="AN225">
        <v>450.37</v>
      </c>
      <c r="AO225">
        <v>450.37</v>
      </c>
      <c r="AP225">
        <v>112.59</v>
      </c>
      <c r="AQ225">
        <v>56.3</v>
      </c>
      <c r="AR225">
        <v>56.3</v>
      </c>
      <c r="AS225" t="s">
        <v>86</v>
      </c>
      <c r="AT225" t="s">
        <v>86</v>
      </c>
      <c r="AU225">
        <v>0</v>
      </c>
      <c r="AV225">
        <v>0</v>
      </c>
    </row>
    <row r="226" spans="1:48" x14ac:dyDescent="0.3">
      <c r="A226">
        <v>4247</v>
      </c>
      <c r="B226" t="s">
        <v>104</v>
      </c>
      <c r="C226" t="s">
        <v>696</v>
      </c>
      <c r="D226" t="s">
        <v>697</v>
      </c>
      <c r="E226" t="s">
        <v>105</v>
      </c>
      <c r="F226" t="s">
        <v>97</v>
      </c>
      <c r="G226" t="s">
        <v>98</v>
      </c>
      <c r="H226">
        <v>0</v>
      </c>
      <c r="I226">
        <v>0</v>
      </c>
      <c r="J226" t="s">
        <v>106</v>
      </c>
      <c r="K226" t="s">
        <v>106</v>
      </c>
      <c r="N226" s="9">
        <v>46140</v>
      </c>
      <c r="O226">
        <v>10420</v>
      </c>
      <c r="P226">
        <v>9</v>
      </c>
      <c r="Q226">
        <v>138</v>
      </c>
      <c r="R226" t="s">
        <v>86</v>
      </c>
      <c r="S226" t="s">
        <v>87</v>
      </c>
      <c r="T226" t="s">
        <v>99</v>
      </c>
      <c r="U226" t="s">
        <v>837</v>
      </c>
      <c r="V226">
        <v>2026</v>
      </c>
      <c r="W226">
        <v>2026</v>
      </c>
      <c r="X226" t="s">
        <v>107</v>
      </c>
      <c r="Y226">
        <v>0</v>
      </c>
      <c r="Z226">
        <v>0</v>
      </c>
      <c r="AA226">
        <v>0</v>
      </c>
      <c r="AB226" t="s">
        <v>101</v>
      </c>
      <c r="AC226">
        <v>85</v>
      </c>
      <c r="AD226">
        <v>133248</v>
      </c>
      <c r="AE226" t="s">
        <v>117</v>
      </c>
      <c r="AF226">
        <v>1675.54</v>
      </c>
      <c r="AG226">
        <v>7049</v>
      </c>
      <c r="AH226">
        <v>0</v>
      </c>
      <c r="AI226">
        <v>1000000</v>
      </c>
      <c r="AJ226">
        <v>200000</v>
      </c>
      <c r="AK226">
        <v>1000000</v>
      </c>
      <c r="AL226">
        <v>10000</v>
      </c>
      <c r="AM226">
        <v>10000</v>
      </c>
      <c r="AN226">
        <v>450.37</v>
      </c>
      <c r="AO226">
        <v>450.37</v>
      </c>
      <c r="AP226">
        <v>112.59</v>
      </c>
      <c r="AQ226">
        <v>56.3</v>
      </c>
      <c r="AR226">
        <v>56.3</v>
      </c>
      <c r="AS226" t="s">
        <v>86</v>
      </c>
      <c r="AT226" t="s">
        <v>86</v>
      </c>
      <c r="AU226">
        <v>0</v>
      </c>
      <c r="AV226">
        <v>0</v>
      </c>
    </row>
    <row r="227" spans="1:48" x14ac:dyDescent="0.3">
      <c r="A227">
        <v>4248</v>
      </c>
      <c r="B227" t="s">
        <v>104</v>
      </c>
      <c r="C227" t="s">
        <v>698</v>
      </c>
      <c r="D227" t="s">
        <v>699</v>
      </c>
      <c r="E227" t="s">
        <v>105</v>
      </c>
      <c r="F227" t="s">
        <v>97</v>
      </c>
      <c r="G227" t="s">
        <v>98</v>
      </c>
      <c r="H227">
        <v>0</v>
      </c>
      <c r="I227">
        <v>0</v>
      </c>
      <c r="J227" t="s">
        <v>106</v>
      </c>
      <c r="K227" t="s">
        <v>106</v>
      </c>
      <c r="N227" s="9">
        <v>46140</v>
      </c>
      <c r="O227">
        <v>10420</v>
      </c>
      <c r="P227">
        <v>9</v>
      </c>
      <c r="Q227">
        <v>139</v>
      </c>
      <c r="R227" t="s">
        <v>86</v>
      </c>
      <c r="S227" t="s">
        <v>87</v>
      </c>
      <c r="T227" t="s">
        <v>99</v>
      </c>
      <c r="U227" t="s">
        <v>837</v>
      </c>
      <c r="V227">
        <v>2026</v>
      </c>
      <c r="W227">
        <v>2026</v>
      </c>
      <c r="X227" t="s">
        <v>107</v>
      </c>
      <c r="Y227">
        <v>0</v>
      </c>
      <c r="Z227">
        <v>0</v>
      </c>
      <c r="AA227">
        <v>0</v>
      </c>
      <c r="AB227" t="s">
        <v>101</v>
      </c>
      <c r="AC227">
        <v>85</v>
      </c>
      <c r="AD227">
        <v>133248</v>
      </c>
      <c r="AE227" t="s">
        <v>117</v>
      </c>
      <c r="AF227">
        <v>1675.54</v>
      </c>
      <c r="AG227">
        <v>7049</v>
      </c>
      <c r="AH227">
        <v>0</v>
      </c>
      <c r="AI227">
        <v>1000000</v>
      </c>
      <c r="AJ227">
        <v>200000</v>
      </c>
      <c r="AK227">
        <v>1000000</v>
      </c>
      <c r="AL227">
        <v>10000</v>
      </c>
      <c r="AM227">
        <v>10000</v>
      </c>
      <c r="AN227">
        <v>450.37</v>
      </c>
      <c r="AO227">
        <v>450.37</v>
      </c>
      <c r="AP227">
        <v>112.59</v>
      </c>
      <c r="AQ227">
        <v>56.3</v>
      </c>
      <c r="AR227">
        <v>56.3</v>
      </c>
      <c r="AS227" t="s">
        <v>86</v>
      </c>
      <c r="AT227" t="s">
        <v>86</v>
      </c>
      <c r="AU227">
        <v>0</v>
      </c>
      <c r="AV227">
        <v>0</v>
      </c>
    </row>
    <row r="228" spans="1:48" x14ac:dyDescent="0.3">
      <c r="A228">
        <v>4249</v>
      </c>
      <c r="B228" t="s">
        <v>104</v>
      </c>
      <c r="C228" t="s">
        <v>700</v>
      </c>
      <c r="D228" t="s">
        <v>701</v>
      </c>
      <c r="E228" t="s">
        <v>105</v>
      </c>
      <c r="F228" t="s">
        <v>97</v>
      </c>
      <c r="G228" t="s">
        <v>98</v>
      </c>
      <c r="H228">
        <v>0</v>
      </c>
      <c r="I228">
        <v>0</v>
      </c>
      <c r="J228" t="s">
        <v>106</v>
      </c>
      <c r="K228" t="s">
        <v>106</v>
      </c>
      <c r="N228" s="9">
        <v>46140</v>
      </c>
      <c r="O228">
        <v>10420</v>
      </c>
      <c r="P228">
        <v>9</v>
      </c>
      <c r="Q228">
        <v>140</v>
      </c>
      <c r="R228" t="s">
        <v>86</v>
      </c>
      <c r="S228" t="s">
        <v>87</v>
      </c>
      <c r="T228" t="s">
        <v>99</v>
      </c>
      <c r="U228" t="s">
        <v>837</v>
      </c>
      <c r="V228">
        <v>2026</v>
      </c>
      <c r="W228">
        <v>2026</v>
      </c>
      <c r="X228" t="s">
        <v>107</v>
      </c>
      <c r="Y228">
        <v>0</v>
      </c>
      <c r="Z228">
        <v>0</v>
      </c>
      <c r="AA228">
        <v>0</v>
      </c>
      <c r="AB228" t="s">
        <v>101</v>
      </c>
      <c r="AC228">
        <v>85</v>
      </c>
      <c r="AD228">
        <v>133248</v>
      </c>
      <c r="AE228" t="s">
        <v>117</v>
      </c>
      <c r="AF228">
        <v>1675.54</v>
      </c>
      <c r="AG228">
        <v>7049</v>
      </c>
      <c r="AH228">
        <v>0</v>
      </c>
      <c r="AI228">
        <v>1000000</v>
      </c>
      <c r="AJ228">
        <v>200000</v>
      </c>
      <c r="AK228">
        <v>1000000</v>
      </c>
      <c r="AL228">
        <v>10000</v>
      </c>
      <c r="AM228">
        <v>10000</v>
      </c>
      <c r="AN228">
        <v>450.37</v>
      </c>
      <c r="AO228">
        <v>450.37</v>
      </c>
      <c r="AP228">
        <v>112.59</v>
      </c>
      <c r="AQ228">
        <v>56.3</v>
      </c>
      <c r="AR228">
        <v>56.3</v>
      </c>
      <c r="AS228" t="s">
        <v>86</v>
      </c>
      <c r="AT228" t="s">
        <v>86</v>
      </c>
      <c r="AU228">
        <v>0</v>
      </c>
      <c r="AV228">
        <v>0</v>
      </c>
    </row>
    <row r="229" spans="1:48" x14ac:dyDescent="0.3">
      <c r="A229">
        <v>4250</v>
      </c>
      <c r="B229" t="s">
        <v>104</v>
      </c>
      <c r="C229" t="s">
        <v>702</v>
      </c>
      <c r="D229" t="s">
        <v>703</v>
      </c>
      <c r="E229" t="s">
        <v>105</v>
      </c>
      <c r="F229" t="s">
        <v>97</v>
      </c>
      <c r="G229" t="s">
        <v>98</v>
      </c>
      <c r="H229">
        <v>0</v>
      </c>
      <c r="I229">
        <v>0</v>
      </c>
      <c r="J229" t="s">
        <v>106</v>
      </c>
      <c r="K229" t="s">
        <v>106</v>
      </c>
      <c r="N229" s="9">
        <v>46140</v>
      </c>
      <c r="O229">
        <v>10420</v>
      </c>
      <c r="P229">
        <v>9</v>
      </c>
      <c r="Q229">
        <v>141</v>
      </c>
      <c r="R229" t="s">
        <v>86</v>
      </c>
      <c r="S229" t="s">
        <v>87</v>
      </c>
      <c r="T229" t="s">
        <v>99</v>
      </c>
      <c r="U229" t="s">
        <v>837</v>
      </c>
      <c r="V229">
        <v>2026</v>
      </c>
      <c r="W229">
        <v>2026</v>
      </c>
      <c r="X229" t="s">
        <v>107</v>
      </c>
      <c r="Y229">
        <v>0</v>
      </c>
      <c r="Z229">
        <v>0</v>
      </c>
      <c r="AA229">
        <v>0</v>
      </c>
      <c r="AB229" t="s">
        <v>101</v>
      </c>
      <c r="AC229">
        <v>85</v>
      </c>
      <c r="AD229">
        <v>133248</v>
      </c>
      <c r="AE229" t="s">
        <v>117</v>
      </c>
      <c r="AF229">
        <v>1675.54</v>
      </c>
      <c r="AG229">
        <v>7049</v>
      </c>
      <c r="AH229">
        <v>0</v>
      </c>
      <c r="AI229">
        <v>1000000</v>
      </c>
      <c r="AJ229">
        <v>200000</v>
      </c>
      <c r="AK229">
        <v>1000000</v>
      </c>
      <c r="AL229">
        <v>10000</v>
      </c>
      <c r="AM229">
        <v>10000</v>
      </c>
      <c r="AN229">
        <v>450.37</v>
      </c>
      <c r="AO229">
        <v>450.37</v>
      </c>
      <c r="AP229">
        <v>112.59</v>
      </c>
      <c r="AQ229">
        <v>56.3</v>
      </c>
      <c r="AR229">
        <v>56.3</v>
      </c>
      <c r="AS229" t="s">
        <v>86</v>
      </c>
      <c r="AT229" t="s">
        <v>86</v>
      </c>
      <c r="AU229">
        <v>0</v>
      </c>
      <c r="AV229">
        <v>0</v>
      </c>
    </row>
    <row r="230" spans="1:48" x14ac:dyDescent="0.3">
      <c r="A230">
        <v>4251</v>
      </c>
      <c r="B230" t="s">
        <v>104</v>
      </c>
      <c r="C230" t="s">
        <v>704</v>
      </c>
      <c r="D230" t="s">
        <v>705</v>
      </c>
      <c r="E230" t="s">
        <v>105</v>
      </c>
      <c r="F230" t="s">
        <v>97</v>
      </c>
      <c r="G230" t="s">
        <v>98</v>
      </c>
      <c r="H230">
        <v>0</v>
      </c>
      <c r="I230">
        <v>0</v>
      </c>
      <c r="J230" t="s">
        <v>106</v>
      </c>
      <c r="K230" t="s">
        <v>106</v>
      </c>
      <c r="N230" s="9">
        <v>46140</v>
      </c>
      <c r="O230">
        <v>10420</v>
      </c>
      <c r="P230">
        <v>9</v>
      </c>
      <c r="Q230">
        <v>142</v>
      </c>
      <c r="R230" t="s">
        <v>86</v>
      </c>
      <c r="S230" t="s">
        <v>87</v>
      </c>
      <c r="T230" t="s">
        <v>99</v>
      </c>
      <c r="U230" t="s">
        <v>837</v>
      </c>
      <c r="V230">
        <v>2026</v>
      </c>
      <c r="W230">
        <v>2026</v>
      </c>
      <c r="X230" t="s">
        <v>107</v>
      </c>
      <c r="Y230">
        <v>0</v>
      </c>
      <c r="Z230">
        <v>0</v>
      </c>
      <c r="AA230">
        <v>0</v>
      </c>
      <c r="AB230" t="s">
        <v>101</v>
      </c>
      <c r="AC230">
        <v>85</v>
      </c>
      <c r="AD230">
        <v>133248</v>
      </c>
      <c r="AE230" t="s">
        <v>117</v>
      </c>
      <c r="AF230">
        <v>1675.54</v>
      </c>
      <c r="AG230">
        <v>7049</v>
      </c>
      <c r="AH230">
        <v>0</v>
      </c>
      <c r="AI230">
        <v>1000000</v>
      </c>
      <c r="AJ230">
        <v>200000</v>
      </c>
      <c r="AK230">
        <v>1000000</v>
      </c>
      <c r="AL230">
        <v>10000</v>
      </c>
      <c r="AM230">
        <v>10000</v>
      </c>
      <c r="AN230">
        <v>450.37</v>
      </c>
      <c r="AO230">
        <v>450.37</v>
      </c>
      <c r="AP230">
        <v>112.59</v>
      </c>
      <c r="AQ230">
        <v>56.3</v>
      </c>
      <c r="AR230">
        <v>56.3</v>
      </c>
      <c r="AS230" t="s">
        <v>86</v>
      </c>
      <c r="AT230" t="s">
        <v>86</v>
      </c>
      <c r="AU230">
        <v>0</v>
      </c>
      <c r="AV230">
        <v>0</v>
      </c>
    </row>
    <row r="231" spans="1:48" x14ac:dyDescent="0.3">
      <c r="A231">
        <v>4252</v>
      </c>
      <c r="B231" t="s">
        <v>104</v>
      </c>
      <c r="C231" t="s">
        <v>706</v>
      </c>
      <c r="D231" t="s">
        <v>707</v>
      </c>
      <c r="E231" t="s">
        <v>105</v>
      </c>
      <c r="F231" t="s">
        <v>151</v>
      </c>
      <c r="G231" t="s">
        <v>152</v>
      </c>
      <c r="H231">
        <v>0</v>
      </c>
      <c r="I231">
        <v>0</v>
      </c>
      <c r="J231" t="s">
        <v>106</v>
      </c>
      <c r="K231" t="s">
        <v>106</v>
      </c>
      <c r="N231" s="9">
        <v>46140</v>
      </c>
      <c r="O231">
        <v>10598</v>
      </c>
      <c r="P231">
        <v>1</v>
      </c>
      <c r="Q231">
        <v>13</v>
      </c>
      <c r="R231" t="s">
        <v>86</v>
      </c>
      <c r="S231" t="s">
        <v>87</v>
      </c>
      <c r="T231" t="s">
        <v>153</v>
      </c>
      <c r="U231" t="s">
        <v>849</v>
      </c>
      <c r="V231">
        <v>2026</v>
      </c>
      <c r="W231">
        <v>2026</v>
      </c>
      <c r="X231" t="s">
        <v>155</v>
      </c>
      <c r="Y231">
        <v>0</v>
      </c>
      <c r="Z231">
        <v>0</v>
      </c>
      <c r="AA231">
        <v>0</v>
      </c>
      <c r="AB231" t="s">
        <v>156</v>
      </c>
      <c r="AC231">
        <v>85</v>
      </c>
      <c r="AD231">
        <v>97920</v>
      </c>
      <c r="AE231" t="s">
        <v>108</v>
      </c>
      <c r="AF231">
        <v>1964.1</v>
      </c>
      <c r="AG231">
        <v>5432.6</v>
      </c>
      <c r="AH231">
        <v>0</v>
      </c>
      <c r="AI231">
        <v>150000</v>
      </c>
      <c r="AJ231">
        <v>0</v>
      </c>
      <c r="AK231">
        <v>150000</v>
      </c>
      <c r="AL231">
        <v>10000</v>
      </c>
      <c r="AM231">
        <v>10000</v>
      </c>
      <c r="AN231">
        <v>561.16999999999996</v>
      </c>
      <c r="AO231">
        <v>0</v>
      </c>
      <c r="AP231">
        <v>140.29</v>
      </c>
      <c r="AQ231">
        <v>70.150000000000006</v>
      </c>
      <c r="AR231">
        <v>70.150000000000006</v>
      </c>
      <c r="AS231" t="s">
        <v>86</v>
      </c>
      <c r="AT231" t="s">
        <v>86</v>
      </c>
      <c r="AU231">
        <v>0</v>
      </c>
      <c r="AV231">
        <v>0</v>
      </c>
    </row>
    <row r="232" spans="1:48" x14ac:dyDescent="0.3">
      <c r="A232">
        <v>4189</v>
      </c>
      <c r="B232" t="s">
        <v>104</v>
      </c>
      <c r="C232" t="s">
        <v>708</v>
      </c>
      <c r="D232" t="s">
        <v>709</v>
      </c>
      <c r="E232" t="s">
        <v>105</v>
      </c>
      <c r="F232" t="s">
        <v>578</v>
      </c>
      <c r="G232" t="s">
        <v>579</v>
      </c>
      <c r="H232">
        <v>0</v>
      </c>
      <c r="I232">
        <v>0</v>
      </c>
      <c r="J232" t="s">
        <v>106</v>
      </c>
      <c r="K232" t="s">
        <v>106</v>
      </c>
      <c r="N232" s="9">
        <v>46139</v>
      </c>
      <c r="O232">
        <v>10151</v>
      </c>
      <c r="P232">
        <v>5</v>
      </c>
      <c r="Q232">
        <v>2</v>
      </c>
      <c r="R232" t="s">
        <v>86</v>
      </c>
      <c r="S232" t="s">
        <v>87</v>
      </c>
      <c r="T232" t="s">
        <v>89</v>
      </c>
      <c r="U232" t="s">
        <v>844</v>
      </c>
      <c r="V232">
        <v>2026</v>
      </c>
      <c r="W232">
        <v>2026</v>
      </c>
      <c r="X232" t="s">
        <v>107</v>
      </c>
      <c r="Y232">
        <v>0</v>
      </c>
      <c r="Z232">
        <v>0</v>
      </c>
      <c r="AA232">
        <v>0</v>
      </c>
      <c r="AB232" t="s">
        <v>88</v>
      </c>
      <c r="AC232">
        <v>85</v>
      </c>
      <c r="AD232">
        <v>84669</v>
      </c>
      <c r="AE232" t="s">
        <v>108</v>
      </c>
      <c r="AF232">
        <v>1825.9</v>
      </c>
      <c r="AG232">
        <v>5050.3500000000004</v>
      </c>
      <c r="AH232">
        <v>0</v>
      </c>
      <c r="AI232">
        <v>150000</v>
      </c>
      <c r="AJ232">
        <v>0</v>
      </c>
      <c r="AK232">
        <v>150000</v>
      </c>
      <c r="AL232">
        <v>10000</v>
      </c>
      <c r="AM232">
        <v>10000</v>
      </c>
      <c r="AN232">
        <v>521.69000000000005</v>
      </c>
      <c r="AO232">
        <v>0</v>
      </c>
      <c r="AP232">
        <v>130.41999999999999</v>
      </c>
      <c r="AQ232">
        <v>65.209999999999994</v>
      </c>
      <c r="AR232">
        <v>65.209999999999994</v>
      </c>
      <c r="AS232" t="s">
        <v>86</v>
      </c>
      <c r="AT232" t="s">
        <v>86</v>
      </c>
      <c r="AU232">
        <v>0</v>
      </c>
      <c r="AV232">
        <v>0</v>
      </c>
    </row>
    <row r="233" spans="1:48" x14ac:dyDescent="0.3">
      <c r="A233">
        <v>4254</v>
      </c>
      <c r="B233" t="s">
        <v>104</v>
      </c>
      <c r="C233" t="s">
        <v>710</v>
      </c>
      <c r="D233" t="s">
        <v>711</v>
      </c>
      <c r="E233" t="s">
        <v>105</v>
      </c>
      <c r="F233" t="s">
        <v>416</v>
      </c>
      <c r="G233" t="s">
        <v>417</v>
      </c>
      <c r="H233">
        <v>0</v>
      </c>
      <c r="I233">
        <v>0</v>
      </c>
      <c r="J233" t="s">
        <v>106</v>
      </c>
      <c r="K233" t="s">
        <v>106</v>
      </c>
      <c r="N233" s="9">
        <v>46140</v>
      </c>
      <c r="O233">
        <v>10669</v>
      </c>
      <c r="P233">
        <v>1</v>
      </c>
      <c r="Q233">
        <v>13</v>
      </c>
      <c r="R233" t="s">
        <v>86</v>
      </c>
      <c r="S233" t="s">
        <v>87</v>
      </c>
      <c r="T233" t="s">
        <v>89</v>
      </c>
      <c r="U233" t="s">
        <v>839</v>
      </c>
      <c r="V233">
        <v>2026</v>
      </c>
      <c r="W233">
        <v>2026</v>
      </c>
      <c r="X233" t="s">
        <v>107</v>
      </c>
      <c r="Y233">
        <v>0</v>
      </c>
      <c r="Z233">
        <v>0</v>
      </c>
      <c r="AA233">
        <v>0</v>
      </c>
      <c r="AB233" t="s">
        <v>88</v>
      </c>
      <c r="AC233">
        <v>85</v>
      </c>
      <c r="AD233">
        <v>84669</v>
      </c>
      <c r="AE233" t="s">
        <v>108</v>
      </c>
      <c r="AF233">
        <v>1825.9</v>
      </c>
      <c r="AG233">
        <v>5050.3500000000004</v>
      </c>
      <c r="AH233">
        <v>0</v>
      </c>
      <c r="AI233">
        <v>150000</v>
      </c>
      <c r="AJ233">
        <v>0</v>
      </c>
      <c r="AK233">
        <v>150000</v>
      </c>
      <c r="AL233">
        <v>10000</v>
      </c>
      <c r="AM233">
        <v>10000</v>
      </c>
      <c r="AN233">
        <v>521.69000000000005</v>
      </c>
      <c r="AO233">
        <v>0</v>
      </c>
      <c r="AP233">
        <v>130.41999999999999</v>
      </c>
      <c r="AQ233">
        <v>65.209999999999994</v>
      </c>
      <c r="AR233">
        <v>65.209999999999994</v>
      </c>
      <c r="AS233" t="s">
        <v>86</v>
      </c>
      <c r="AT233" t="s">
        <v>86</v>
      </c>
      <c r="AU233">
        <v>0</v>
      </c>
      <c r="AV233">
        <v>0</v>
      </c>
    </row>
    <row r="234" spans="1:48" x14ac:dyDescent="0.3">
      <c r="A234">
        <v>4255</v>
      </c>
      <c r="B234" t="s">
        <v>104</v>
      </c>
      <c r="C234" t="s">
        <v>712</v>
      </c>
      <c r="D234" t="s">
        <v>713</v>
      </c>
      <c r="E234" t="s">
        <v>105</v>
      </c>
      <c r="F234" t="s">
        <v>139</v>
      </c>
      <c r="G234" t="s">
        <v>140</v>
      </c>
      <c r="H234">
        <v>0</v>
      </c>
      <c r="I234">
        <v>0</v>
      </c>
      <c r="J234" t="s">
        <v>106</v>
      </c>
      <c r="K234" t="s">
        <v>106</v>
      </c>
      <c r="N234" s="9">
        <v>46140</v>
      </c>
      <c r="O234">
        <v>10573</v>
      </c>
      <c r="P234">
        <v>3</v>
      </c>
      <c r="Q234">
        <v>8</v>
      </c>
      <c r="R234" t="s">
        <v>86</v>
      </c>
      <c r="S234" t="s">
        <v>87</v>
      </c>
      <c r="T234" t="s">
        <v>89</v>
      </c>
      <c r="U234" t="s">
        <v>839</v>
      </c>
      <c r="V234">
        <v>2026</v>
      </c>
      <c r="W234">
        <v>2026</v>
      </c>
      <c r="X234" t="s">
        <v>107</v>
      </c>
      <c r="Y234">
        <v>0</v>
      </c>
      <c r="Z234">
        <v>0</v>
      </c>
      <c r="AA234">
        <v>0</v>
      </c>
      <c r="AB234" t="s">
        <v>88</v>
      </c>
      <c r="AC234">
        <v>85</v>
      </c>
      <c r="AD234">
        <v>84669</v>
      </c>
      <c r="AE234" t="s">
        <v>108</v>
      </c>
      <c r="AF234">
        <v>1930.59</v>
      </c>
      <c r="AG234">
        <v>5339.9</v>
      </c>
      <c r="AH234">
        <v>0</v>
      </c>
      <c r="AI234">
        <v>150000</v>
      </c>
      <c r="AJ234">
        <v>0</v>
      </c>
      <c r="AK234">
        <v>150000</v>
      </c>
      <c r="AL234">
        <v>10000</v>
      </c>
      <c r="AM234">
        <v>10000</v>
      </c>
      <c r="AN234">
        <v>551.6</v>
      </c>
      <c r="AO234">
        <v>0</v>
      </c>
      <c r="AP234">
        <v>137.9</v>
      </c>
      <c r="AQ234">
        <v>68.95</v>
      </c>
      <c r="AR234">
        <v>68.95</v>
      </c>
      <c r="AS234" t="s">
        <v>86</v>
      </c>
      <c r="AT234" t="s">
        <v>86</v>
      </c>
      <c r="AU234">
        <v>0</v>
      </c>
      <c r="AV234">
        <v>0</v>
      </c>
    </row>
    <row r="235" spans="1:48" x14ac:dyDescent="0.3">
      <c r="A235">
        <v>4256</v>
      </c>
      <c r="B235" t="s">
        <v>104</v>
      </c>
      <c r="C235" t="s">
        <v>714</v>
      </c>
      <c r="D235" t="s">
        <v>715</v>
      </c>
      <c r="E235" t="s">
        <v>105</v>
      </c>
      <c r="F235" t="s">
        <v>149</v>
      </c>
      <c r="G235" t="s">
        <v>150</v>
      </c>
      <c r="H235">
        <v>0</v>
      </c>
      <c r="I235">
        <v>0</v>
      </c>
      <c r="J235" t="s">
        <v>106</v>
      </c>
      <c r="K235" t="s">
        <v>106</v>
      </c>
      <c r="N235" s="9">
        <v>46140</v>
      </c>
      <c r="O235">
        <v>10681</v>
      </c>
      <c r="P235">
        <v>1</v>
      </c>
      <c r="Q235">
        <v>31</v>
      </c>
      <c r="R235" t="s">
        <v>86</v>
      </c>
      <c r="S235" t="s">
        <v>87</v>
      </c>
      <c r="T235" t="s">
        <v>89</v>
      </c>
      <c r="U235" t="s">
        <v>839</v>
      </c>
      <c r="V235">
        <v>2026</v>
      </c>
      <c r="W235">
        <v>2026</v>
      </c>
      <c r="X235" t="s">
        <v>107</v>
      </c>
      <c r="Y235">
        <v>0</v>
      </c>
      <c r="Z235">
        <v>0</v>
      </c>
      <c r="AA235">
        <v>0</v>
      </c>
      <c r="AB235" t="s">
        <v>88</v>
      </c>
      <c r="AC235">
        <v>85</v>
      </c>
      <c r="AD235">
        <v>84669</v>
      </c>
      <c r="AE235" t="s">
        <v>108</v>
      </c>
      <c r="AF235">
        <v>1825.9</v>
      </c>
      <c r="AG235">
        <v>5050.3500000000004</v>
      </c>
      <c r="AH235">
        <v>0</v>
      </c>
      <c r="AI235">
        <v>150000</v>
      </c>
      <c r="AJ235">
        <v>0</v>
      </c>
      <c r="AK235">
        <v>150000</v>
      </c>
      <c r="AL235">
        <v>10000</v>
      </c>
      <c r="AM235">
        <v>10000</v>
      </c>
      <c r="AN235">
        <v>521.69000000000005</v>
      </c>
      <c r="AO235">
        <v>0</v>
      </c>
      <c r="AP235">
        <v>130.41999999999999</v>
      </c>
      <c r="AQ235">
        <v>65.209999999999994</v>
      </c>
      <c r="AR235">
        <v>65.209999999999994</v>
      </c>
      <c r="AS235" t="s">
        <v>86</v>
      </c>
      <c r="AT235" t="s">
        <v>86</v>
      </c>
      <c r="AU235">
        <v>0</v>
      </c>
      <c r="AV235">
        <v>0</v>
      </c>
    </row>
    <row r="236" spans="1:48" x14ac:dyDescent="0.3">
      <c r="A236">
        <v>4257</v>
      </c>
      <c r="B236" t="s">
        <v>104</v>
      </c>
      <c r="C236" t="s">
        <v>716</v>
      </c>
      <c r="D236" t="s">
        <v>717</v>
      </c>
      <c r="E236" t="s">
        <v>105</v>
      </c>
      <c r="F236" t="s">
        <v>149</v>
      </c>
      <c r="G236" t="s">
        <v>150</v>
      </c>
      <c r="H236">
        <v>0</v>
      </c>
      <c r="I236">
        <v>0</v>
      </c>
      <c r="J236" t="s">
        <v>106</v>
      </c>
      <c r="K236" t="s">
        <v>106</v>
      </c>
      <c r="N236" s="9">
        <v>46140</v>
      </c>
      <c r="O236">
        <v>10681</v>
      </c>
      <c r="P236">
        <v>1</v>
      </c>
      <c r="Q236">
        <v>32</v>
      </c>
      <c r="R236" t="s">
        <v>86</v>
      </c>
      <c r="S236" t="s">
        <v>87</v>
      </c>
      <c r="T236" t="s">
        <v>89</v>
      </c>
      <c r="U236" t="s">
        <v>839</v>
      </c>
      <c r="V236">
        <v>2026</v>
      </c>
      <c r="W236">
        <v>2026</v>
      </c>
      <c r="X236" t="s">
        <v>107</v>
      </c>
      <c r="Y236">
        <v>0</v>
      </c>
      <c r="Z236">
        <v>0</v>
      </c>
      <c r="AA236">
        <v>0</v>
      </c>
      <c r="AB236" t="s">
        <v>88</v>
      </c>
      <c r="AC236">
        <v>85</v>
      </c>
      <c r="AD236">
        <v>84669</v>
      </c>
      <c r="AE236" t="s">
        <v>108</v>
      </c>
      <c r="AF236">
        <v>1825.9</v>
      </c>
      <c r="AG236">
        <v>5050.3500000000004</v>
      </c>
      <c r="AH236">
        <v>0</v>
      </c>
      <c r="AI236">
        <v>150000</v>
      </c>
      <c r="AJ236">
        <v>0</v>
      </c>
      <c r="AK236">
        <v>150000</v>
      </c>
      <c r="AL236">
        <v>10000</v>
      </c>
      <c r="AM236">
        <v>10000</v>
      </c>
      <c r="AN236">
        <v>521.69000000000005</v>
      </c>
      <c r="AO236">
        <v>0</v>
      </c>
      <c r="AP236">
        <v>130.41999999999999</v>
      </c>
      <c r="AQ236">
        <v>65.209999999999994</v>
      </c>
      <c r="AR236">
        <v>65.209999999999994</v>
      </c>
      <c r="AS236" t="s">
        <v>86</v>
      </c>
      <c r="AT236" t="s">
        <v>86</v>
      </c>
      <c r="AU236">
        <v>0</v>
      </c>
      <c r="AV236">
        <v>0</v>
      </c>
    </row>
    <row r="237" spans="1:48" x14ac:dyDescent="0.3">
      <c r="A237">
        <v>4258</v>
      </c>
      <c r="B237" t="s">
        <v>104</v>
      </c>
      <c r="C237" t="s">
        <v>718</v>
      </c>
      <c r="D237" t="s">
        <v>719</v>
      </c>
      <c r="E237" t="s">
        <v>105</v>
      </c>
      <c r="F237" t="s">
        <v>149</v>
      </c>
      <c r="G237" t="s">
        <v>150</v>
      </c>
      <c r="H237">
        <v>0</v>
      </c>
      <c r="I237">
        <v>0</v>
      </c>
      <c r="J237" t="s">
        <v>106</v>
      </c>
      <c r="K237" t="s">
        <v>106</v>
      </c>
      <c r="N237" s="9">
        <v>46140</v>
      </c>
      <c r="O237">
        <v>10681</v>
      </c>
      <c r="P237">
        <v>1</v>
      </c>
      <c r="Q237">
        <v>33</v>
      </c>
      <c r="R237" t="s">
        <v>86</v>
      </c>
      <c r="S237" t="s">
        <v>87</v>
      </c>
      <c r="T237" t="s">
        <v>89</v>
      </c>
      <c r="U237" t="s">
        <v>839</v>
      </c>
      <c r="V237">
        <v>2026</v>
      </c>
      <c r="W237">
        <v>2026</v>
      </c>
      <c r="X237" t="s">
        <v>107</v>
      </c>
      <c r="Y237">
        <v>0</v>
      </c>
      <c r="Z237">
        <v>0</v>
      </c>
      <c r="AA237">
        <v>0</v>
      </c>
      <c r="AB237" t="s">
        <v>88</v>
      </c>
      <c r="AC237">
        <v>85</v>
      </c>
      <c r="AD237">
        <v>84669</v>
      </c>
      <c r="AE237" t="s">
        <v>108</v>
      </c>
      <c r="AF237">
        <v>1825.9</v>
      </c>
      <c r="AG237">
        <v>5050.3500000000004</v>
      </c>
      <c r="AH237">
        <v>0</v>
      </c>
      <c r="AI237">
        <v>150000</v>
      </c>
      <c r="AJ237">
        <v>0</v>
      </c>
      <c r="AK237">
        <v>150000</v>
      </c>
      <c r="AL237">
        <v>10000</v>
      </c>
      <c r="AM237">
        <v>10000</v>
      </c>
      <c r="AN237">
        <v>521.69000000000005</v>
      </c>
      <c r="AO237">
        <v>0</v>
      </c>
      <c r="AP237">
        <v>130.41999999999999</v>
      </c>
      <c r="AQ237">
        <v>65.209999999999994</v>
      </c>
      <c r="AR237">
        <v>65.209999999999994</v>
      </c>
      <c r="AS237" t="s">
        <v>86</v>
      </c>
      <c r="AT237" t="s">
        <v>86</v>
      </c>
      <c r="AU237">
        <v>0</v>
      </c>
      <c r="AV237">
        <v>0</v>
      </c>
    </row>
    <row r="238" spans="1:48" x14ac:dyDescent="0.3">
      <c r="A238">
        <v>4259</v>
      </c>
      <c r="B238" t="s">
        <v>104</v>
      </c>
      <c r="C238" t="s">
        <v>720</v>
      </c>
      <c r="D238" t="s">
        <v>721</v>
      </c>
      <c r="E238" t="s">
        <v>105</v>
      </c>
      <c r="F238" t="s">
        <v>149</v>
      </c>
      <c r="G238" t="s">
        <v>150</v>
      </c>
      <c r="H238">
        <v>0</v>
      </c>
      <c r="I238">
        <v>0</v>
      </c>
      <c r="J238" t="s">
        <v>106</v>
      </c>
      <c r="K238" t="s">
        <v>106</v>
      </c>
      <c r="N238" s="9">
        <v>46140</v>
      </c>
      <c r="O238">
        <v>10681</v>
      </c>
      <c r="P238">
        <v>1</v>
      </c>
      <c r="Q238">
        <v>34</v>
      </c>
      <c r="R238" t="s">
        <v>86</v>
      </c>
      <c r="S238" t="s">
        <v>87</v>
      </c>
      <c r="T238" t="s">
        <v>89</v>
      </c>
      <c r="U238" t="s">
        <v>839</v>
      </c>
      <c r="V238">
        <v>2026</v>
      </c>
      <c r="W238">
        <v>2026</v>
      </c>
      <c r="X238" t="s">
        <v>107</v>
      </c>
      <c r="Y238">
        <v>0</v>
      </c>
      <c r="Z238">
        <v>0</v>
      </c>
      <c r="AA238">
        <v>0</v>
      </c>
      <c r="AB238" t="s">
        <v>88</v>
      </c>
      <c r="AC238">
        <v>85</v>
      </c>
      <c r="AD238">
        <v>84669</v>
      </c>
      <c r="AE238" t="s">
        <v>108</v>
      </c>
      <c r="AF238">
        <v>1825.9</v>
      </c>
      <c r="AG238">
        <v>5050.3500000000004</v>
      </c>
      <c r="AH238">
        <v>0</v>
      </c>
      <c r="AI238">
        <v>150000</v>
      </c>
      <c r="AJ238">
        <v>0</v>
      </c>
      <c r="AK238">
        <v>150000</v>
      </c>
      <c r="AL238">
        <v>10000</v>
      </c>
      <c r="AM238">
        <v>10000</v>
      </c>
      <c r="AN238">
        <v>521.69000000000005</v>
      </c>
      <c r="AO238">
        <v>0</v>
      </c>
      <c r="AP238">
        <v>130.41999999999999</v>
      </c>
      <c r="AQ238">
        <v>65.209999999999994</v>
      </c>
      <c r="AR238">
        <v>65.209999999999994</v>
      </c>
      <c r="AS238" t="s">
        <v>86</v>
      </c>
      <c r="AT238" t="s">
        <v>86</v>
      </c>
      <c r="AU238">
        <v>0</v>
      </c>
      <c r="AV238">
        <v>0</v>
      </c>
    </row>
    <row r="239" spans="1:48" x14ac:dyDescent="0.3">
      <c r="A239">
        <v>4260</v>
      </c>
      <c r="B239" t="s">
        <v>104</v>
      </c>
      <c r="C239" t="s">
        <v>722</v>
      </c>
      <c r="D239" t="s">
        <v>723</v>
      </c>
      <c r="E239" t="s">
        <v>105</v>
      </c>
      <c r="F239" t="s">
        <v>149</v>
      </c>
      <c r="G239" t="s">
        <v>150</v>
      </c>
      <c r="H239">
        <v>0</v>
      </c>
      <c r="I239">
        <v>0</v>
      </c>
      <c r="J239" t="s">
        <v>106</v>
      </c>
      <c r="K239" t="s">
        <v>106</v>
      </c>
      <c r="N239" s="9">
        <v>46140</v>
      </c>
      <c r="O239">
        <v>10681</v>
      </c>
      <c r="P239">
        <v>1</v>
      </c>
      <c r="Q239">
        <v>35</v>
      </c>
      <c r="R239" t="s">
        <v>86</v>
      </c>
      <c r="S239" t="s">
        <v>87</v>
      </c>
      <c r="T239" t="s">
        <v>89</v>
      </c>
      <c r="U239" t="s">
        <v>839</v>
      </c>
      <c r="V239">
        <v>2026</v>
      </c>
      <c r="W239">
        <v>2026</v>
      </c>
      <c r="X239" t="s">
        <v>107</v>
      </c>
      <c r="Y239">
        <v>0</v>
      </c>
      <c r="Z239">
        <v>0</v>
      </c>
      <c r="AA239">
        <v>0</v>
      </c>
      <c r="AB239" t="s">
        <v>88</v>
      </c>
      <c r="AC239">
        <v>85</v>
      </c>
      <c r="AD239">
        <v>84669</v>
      </c>
      <c r="AE239" t="s">
        <v>108</v>
      </c>
      <c r="AF239">
        <v>1825.9</v>
      </c>
      <c r="AG239">
        <v>5050.3500000000004</v>
      </c>
      <c r="AH239">
        <v>0</v>
      </c>
      <c r="AI239">
        <v>150000</v>
      </c>
      <c r="AJ239">
        <v>0</v>
      </c>
      <c r="AK239">
        <v>150000</v>
      </c>
      <c r="AL239">
        <v>10000</v>
      </c>
      <c r="AM239">
        <v>10000</v>
      </c>
      <c r="AN239">
        <v>521.69000000000005</v>
      </c>
      <c r="AO239">
        <v>0</v>
      </c>
      <c r="AP239">
        <v>130.41999999999999</v>
      </c>
      <c r="AQ239">
        <v>65.209999999999994</v>
      </c>
      <c r="AR239">
        <v>65.209999999999994</v>
      </c>
      <c r="AS239" t="s">
        <v>86</v>
      </c>
      <c r="AT239" t="s">
        <v>86</v>
      </c>
      <c r="AU239">
        <v>0</v>
      </c>
      <c r="AV239">
        <v>0</v>
      </c>
    </row>
    <row r="240" spans="1:48" x14ac:dyDescent="0.3">
      <c r="A240">
        <v>4261</v>
      </c>
      <c r="B240" t="s">
        <v>104</v>
      </c>
      <c r="C240" t="s">
        <v>724</v>
      </c>
      <c r="D240" t="s">
        <v>725</v>
      </c>
      <c r="E240" t="s">
        <v>105</v>
      </c>
      <c r="F240" t="s">
        <v>610</v>
      </c>
      <c r="G240" t="s">
        <v>611</v>
      </c>
      <c r="H240">
        <v>0</v>
      </c>
      <c r="I240">
        <v>0</v>
      </c>
      <c r="J240" t="s">
        <v>106</v>
      </c>
      <c r="K240" t="s">
        <v>106</v>
      </c>
      <c r="N240" s="9">
        <v>46140</v>
      </c>
      <c r="O240">
        <v>10693</v>
      </c>
      <c r="P240">
        <v>1</v>
      </c>
      <c r="Q240">
        <v>14</v>
      </c>
      <c r="R240" t="s">
        <v>86</v>
      </c>
      <c r="S240" t="s">
        <v>87</v>
      </c>
      <c r="T240" t="s">
        <v>89</v>
      </c>
      <c r="U240" t="s">
        <v>839</v>
      </c>
      <c r="V240">
        <v>2026</v>
      </c>
      <c r="W240">
        <v>2026</v>
      </c>
      <c r="X240" t="s">
        <v>107</v>
      </c>
      <c r="Y240">
        <v>0</v>
      </c>
      <c r="Z240">
        <v>0</v>
      </c>
      <c r="AA240">
        <v>0</v>
      </c>
      <c r="AB240" t="s">
        <v>88</v>
      </c>
      <c r="AC240">
        <v>85</v>
      </c>
      <c r="AD240">
        <v>84669</v>
      </c>
      <c r="AE240" t="s">
        <v>108</v>
      </c>
      <c r="AF240">
        <v>1825.9</v>
      </c>
      <c r="AG240">
        <v>5050.3500000000004</v>
      </c>
      <c r="AH240">
        <v>0</v>
      </c>
      <c r="AI240">
        <v>150000</v>
      </c>
      <c r="AJ240">
        <v>0</v>
      </c>
      <c r="AK240">
        <v>150000</v>
      </c>
      <c r="AL240">
        <v>10000</v>
      </c>
      <c r="AM240">
        <v>10000</v>
      </c>
      <c r="AN240">
        <v>521.69000000000005</v>
      </c>
      <c r="AO240">
        <v>0</v>
      </c>
      <c r="AP240">
        <v>130.41999999999999</v>
      </c>
      <c r="AQ240">
        <v>65.209999999999994</v>
      </c>
      <c r="AR240">
        <v>65.209999999999994</v>
      </c>
      <c r="AS240" t="s">
        <v>86</v>
      </c>
      <c r="AT240" t="s">
        <v>86</v>
      </c>
      <c r="AU240">
        <v>0</v>
      </c>
      <c r="AV240">
        <v>0</v>
      </c>
    </row>
    <row r="241" spans="1:48" x14ac:dyDescent="0.3">
      <c r="A241">
        <v>4265</v>
      </c>
      <c r="B241" t="s">
        <v>104</v>
      </c>
      <c r="C241" t="s">
        <v>726</v>
      </c>
      <c r="D241" t="s">
        <v>727</v>
      </c>
      <c r="E241" t="s">
        <v>105</v>
      </c>
      <c r="F241" t="s">
        <v>136</v>
      </c>
      <c r="G241" t="s">
        <v>137</v>
      </c>
      <c r="H241">
        <v>0</v>
      </c>
      <c r="I241">
        <v>0</v>
      </c>
      <c r="J241" t="s">
        <v>106</v>
      </c>
      <c r="K241" t="s">
        <v>106</v>
      </c>
      <c r="N241" s="9">
        <v>46141</v>
      </c>
      <c r="O241">
        <v>10628</v>
      </c>
      <c r="P241">
        <v>10</v>
      </c>
      <c r="Q241">
        <v>1</v>
      </c>
      <c r="R241" t="s">
        <v>86</v>
      </c>
      <c r="S241" t="s">
        <v>87</v>
      </c>
      <c r="T241" t="s">
        <v>728</v>
      </c>
      <c r="U241" t="s">
        <v>850</v>
      </c>
      <c r="V241">
        <v>2026</v>
      </c>
      <c r="W241">
        <v>2026</v>
      </c>
      <c r="X241" t="s">
        <v>107</v>
      </c>
      <c r="Y241">
        <v>0</v>
      </c>
      <c r="Z241">
        <v>0</v>
      </c>
      <c r="AA241">
        <v>0</v>
      </c>
      <c r="AB241" t="s">
        <v>730</v>
      </c>
      <c r="AC241">
        <v>85</v>
      </c>
      <c r="AD241">
        <v>108341</v>
      </c>
      <c r="AE241" t="s">
        <v>108</v>
      </c>
      <c r="AF241">
        <v>1654.53</v>
      </c>
      <c r="AG241">
        <v>5834.55</v>
      </c>
      <c r="AH241">
        <v>0</v>
      </c>
      <c r="AI241">
        <v>150000</v>
      </c>
      <c r="AJ241">
        <v>0</v>
      </c>
      <c r="AK241">
        <v>150000</v>
      </c>
      <c r="AL241">
        <v>10000</v>
      </c>
      <c r="AM241">
        <v>10000</v>
      </c>
      <c r="AN241">
        <v>472.72</v>
      </c>
      <c r="AO241">
        <v>0</v>
      </c>
      <c r="AP241">
        <v>118.18</v>
      </c>
      <c r="AQ241">
        <v>59.09</v>
      </c>
      <c r="AR241">
        <v>59.09</v>
      </c>
      <c r="AS241" t="s">
        <v>86</v>
      </c>
      <c r="AT241" t="s">
        <v>86</v>
      </c>
      <c r="AU241">
        <v>0</v>
      </c>
      <c r="AV241">
        <v>0</v>
      </c>
    </row>
    <row r="242" spans="1:48" x14ac:dyDescent="0.3">
      <c r="A242">
        <v>4266</v>
      </c>
      <c r="B242" t="s">
        <v>104</v>
      </c>
      <c r="C242" t="s">
        <v>731</v>
      </c>
      <c r="D242" t="s">
        <v>732</v>
      </c>
      <c r="E242" t="s">
        <v>105</v>
      </c>
      <c r="F242" t="s">
        <v>149</v>
      </c>
      <c r="G242" t="s">
        <v>150</v>
      </c>
      <c r="H242">
        <v>0</v>
      </c>
      <c r="I242">
        <v>0</v>
      </c>
      <c r="J242" t="s">
        <v>106</v>
      </c>
      <c r="K242" t="s">
        <v>106</v>
      </c>
      <c r="N242" s="9">
        <v>46141</v>
      </c>
      <c r="O242">
        <v>10681</v>
      </c>
      <c r="P242">
        <v>1</v>
      </c>
      <c r="Q242">
        <v>36</v>
      </c>
      <c r="R242" t="s">
        <v>86</v>
      </c>
      <c r="S242" t="s">
        <v>87</v>
      </c>
      <c r="T242" t="s">
        <v>89</v>
      </c>
      <c r="U242" t="s">
        <v>839</v>
      </c>
      <c r="V242">
        <v>2026</v>
      </c>
      <c r="W242">
        <v>2026</v>
      </c>
      <c r="X242" t="s">
        <v>107</v>
      </c>
      <c r="Y242">
        <v>0</v>
      </c>
      <c r="Z242">
        <v>0</v>
      </c>
      <c r="AA242">
        <v>0</v>
      </c>
      <c r="AB242" t="s">
        <v>88</v>
      </c>
      <c r="AC242">
        <v>85</v>
      </c>
      <c r="AD242">
        <v>84669</v>
      </c>
      <c r="AE242" t="s">
        <v>108</v>
      </c>
      <c r="AF242">
        <v>1825.9</v>
      </c>
      <c r="AG242">
        <v>5050.3500000000004</v>
      </c>
      <c r="AH242">
        <v>0</v>
      </c>
      <c r="AI242">
        <v>150000</v>
      </c>
      <c r="AJ242">
        <v>0</v>
      </c>
      <c r="AK242">
        <v>150000</v>
      </c>
      <c r="AL242">
        <v>10000</v>
      </c>
      <c r="AM242">
        <v>10000</v>
      </c>
      <c r="AN242">
        <v>521.69000000000005</v>
      </c>
      <c r="AO242">
        <v>0</v>
      </c>
      <c r="AP242">
        <v>130.41999999999999</v>
      </c>
      <c r="AQ242">
        <v>65.209999999999994</v>
      </c>
      <c r="AR242">
        <v>65.209999999999994</v>
      </c>
      <c r="AS242" t="s">
        <v>86</v>
      </c>
      <c r="AT242" t="s">
        <v>86</v>
      </c>
      <c r="AU242">
        <v>0</v>
      </c>
      <c r="AV242">
        <v>0</v>
      </c>
    </row>
    <row r="243" spans="1:48" x14ac:dyDescent="0.3">
      <c r="A243">
        <v>4267</v>
      </c>
      <c r="B243" t="s">
        <v>104</v>
      </c>
      <c r="C243" t="s">
        <v>733</v>
      </c>
      <c r="D243" t="s">
        <v>734</v>
      </c>
      <c r="E243" t="s">
        <v>105</v>
      </c>
      <c r="F243" t="s">
        <v>149</v>
      </c>
      <c r="G243" t="s">
        <v>150</v>
      </c>
      <c r="H243">
        <v>0</v>
      </c>
      <c r="I243">
        <v>0</v>
      </c>
      <c r="J243" t="s">
        <v>106</v>
      </c>
      <c r="K243" t="s">
        <v>106</v>
      </c>
      <c r="N243" s="9">
        <v>46141</v>
      </c>
      <c r="O243">
        <v>10681</v>
      </c>
      <c r="P243">
        <v>1</v>
      </c>
      <c r="Q243">
        <v>37</v>
      </c>
      <c r="R243" t="s">
        <v>86</v>
      </c>
      <c r="S243" t="s">
        <v>87</v>
      </c>
      <c r="T243" t="s">
        <v>89</v>
      </c>
      <c r="U243" t="s">
        <v>839</v>
      </c>
      <c r="V243">
        <v>2026</v>
      </c>
      <c r="W243">
        <v>2026</v>
      </c>
      <c r="X243" t="s">
        <v>107</v>
      </c>
      <c r="Y243">
        <v>0</v>
      </c>
      <c r="Z243">
        <v>0</v>
      </c>
      <c r="AA243">
        <v>0</v>
      </c>
      <c r="AB243" t="s">
        <v>88</v>
      </c>
      <c r="AC243">
        <v>85</v>
      </c>
      <c r="AD243">
        <v>84669</v>
      </c>
      <c r="AE243" t="s">
        <v>108</v>
      </c>
      <c r="AF243">
        <v>1825.9</v>
      </c>
      <c r="AG243">
        <v>5050.3500000000004</v>
      </c>
      <c r="AH243">
        <v>0</v>
      </c>
      <c r="AI243">
        <v>150000</v>
      </c>
      <c r="AJ243">
        <v>0</v>
      </c>
      <c r="AK243">
        <v>150000</v>
      </c>
      <c r="AL243">
        <v>10000</v>
      </c>
      <c r="AM243">
        <v>10000</v>
      </c>
      <c r="AN243">
        <v>521.69000000000005</v>
      </c>
      <c r="AO243">
        <v>0</v>
      </c>
      <c r="AP243">
        <v>130.41999999999999</v>
      </c>
      <c r="AQ243">
        <v>65.209999999999994</v>
      </c>
      <c r="AR243">
        <v>65.209999999999994</v>
      </c>
      <c r="AS243" t="s">
        <v>86</v>
      </c>
      <c r="AT243" t="s">
        <v>86</v>
      </c>
      <c r="AU243">
        <v>0</v>
      </c>
      <c r="AV243">
        <v>0</v>
      </c>
    </row>
    <row r="244" spans="1:48" x14ac:dyDescent="0.3">
      <c r="A244">
        <v>4268</v>
      </c>
      <c r="B244" t="s">
        <v>104</v>
      </c>
      <c r="C244" t="s">
        <v>735</v>
      </c>
      <c r="D244" t="s">
        <v>736</v>
      </c>
      <c r="E244" t="s">
        <v>105</v>
      </c>
      <c r="F244" t="s">
        <v>149</v>
      </c>
      <c r="G244" t="s">
        <v>150</v>
      </c>
      <c r="H244">
        <v>0</v>
      </c>
      <c r="I244">
        <v>0</v>
      </c>
      <c r="J244" t="s">
        <v>106</v>
      </c>
      <c r="K244" t="s">
        <v>106</v>
      </c>
      <c r="N244" s="9">
        <v>46141</v>
      </c>
      <c r="O244">
        <v>10681</v>
      </c>
      <c r="P244">
        <v>1</v>
      </c>
      <c r="Q244">
        <v>38</v>
      </c>
      <c r="R244" t="s">
        <v>86</v>
      </c>
      <c r="S244" t="s">
        <v>87</v>
      </c>
      <c r="T244" t="s">
        <v>89</v>
      </c>
      <c r="U244" t="s">
        <v>839</v>
      </c>
      <c r="V244">
        <v>2026</v>
      </c>
      <c r="W244">
        <v>2026</v>
      </c>
      <c r="X244" t="s">
        <v>107</v>
      </c>
      <c r="Y244">
        <v>0</v>
      </c>
      <c r="Z244">
        <v>0</v>
      </c>
      <c r="AA244">
        <v>0</v>
      </c>
      <c r="AB244" t="s">
        <v>88</v>
      </c>
      <c r="AC244">
        <v>85</v>
      </c>
      <c r="AD244">
        <v>84669</v>
      </c>
      <c r="AE244" t="s">
        <v>108</v>
      </c>
      <c r="AF244">
        <v>1825.9</v>
      </c>
      <c r="AG244">
        <v>5050.3500000000004</v>
      </c>
      <c r="AH244">
        <v>0</v>
      </c>
      <c r="AI244">
        <v>150000</v>
      </c>
      <c r="AJ244">
        <v>0</v>
      </c>
      <c r="AK244">
        <v>150000</v>
      </c>
      <c r="AL244">
        <v>10000</v>
      </c>
      <c r="AM244">
        <v>10000</v>
      </c>
      <c r="AN244">
        <v>521.69000000000005</v>
      </c>
      <c r="AO244">
        <v>0</v>
      </c>
      <c r="AP244">
        <v>130.41999999999999</v>
      </c>
      <c r="AQ244">
        <v>65.209999999999994</v>
      </c>
      <c r="AR244">
        <v>65.209999999999994</v>
      </c>
      <c r="AS244" t="s">
        <v>86</v>
      </c>
      <c r="AT244" t="s">
        <v>86</v>
      </c>
      <c r="AU244">
        <v>0</v>
      </c>
      <c r="AV244">
        <v>0</v>
      </c>
    </row>
    <row r="245" spans="1:48" x14ac:dyDescent="0.3">
      <c r="A245">
        <v>4269</v>
      </c>
      <c r="B245" t="s">
        <v>104</v>
      </c>
      <c r="C245" t="s">
        <v>737</v>
      </c>
      <c r="D245" t="s">
        <v>738</v>
      </c>
      <c r="E245" t="s">
        <v>105</v>
      </c>
      <c r="F245" t="s">
        <v>416</v>
      </c>
      <c r="G245" t="s">
        <v>417</v>
      </c>
      <c r="H245">
        <v>0</v>
      </c>
      <c r="I245">
        <v>0</v>
      </c>
      <c r="J245" t="s">
        <v>106</v>
      </c>
      <c r="K245" t="s">
        <v>106</v>
      </c>
      <c r="N245" s="9">
        <v>46141</v>
      </c>
      <c r="O245">
        <v>10669</v>
      </c>
      <c r="P245">
        <v>1</v>
      </c>
      <c r="Q245">
        <v>14</v>
      </c>
      <c r="R245" t="s">
        <v>86</v>
      </c>
      <c r="S245" t="s">
        <v>87</v>
      </c>
      <c r="T245" t="s">
        <v>89</v>
      </c>
      <c r="U245" t="s">
        <v>839</v>
      </c>
      <c r="V245">
        <v>2026</v>
      </c>
      <c r="W245">
        <v>2026</v>
      </c>
      <c r="X245" t="s">
        <v>107</v>
      </c>
      <c r="Y245">
        <v>0</v>
      </c>
      <c r="Z245">
        <v>0</v>
      </c>
      <c r="AA245">
        <v>0</v>
      </c>
      <c r="AB245" t="s">
        <v>88</v>
      </c>
      <c r="AC245">
        <v>85</v>
      </c>
      <c r="AD245">
        <v>84669</v>
      </c>
      <c r="AE245" t="s">
        <v>108</v>
      </c>
      <c r="AF245">
        <v>1825.9</v>
      </c>
      <c r="AG245">
        <v>5050.3500000000004</v>
      </c>
      <c r="AH245">
        <v>0</v>
      </c>
      <c r="AI245">
        <v>150000</v>
      </c>
      <c r="AJ245">
        <v>0</v>
      </c>
      <c r="AK245">
        <v>150000</v>
      </c>
      <c r="AL245">
        <v>10000</v>
      </c>
      <c r="AM245">
        <v>10000</v>
      </c>
      <c r="AN245">
        <v>521.69000000000005</v>
      </c>
      <c r="AO245">
        <v>0</v>
      </c>
      <c r="AP245">
        <v>130.41999999999999</v>
      </c>
      <c r="AQ245">
        <v>65.209999999999994</v>
      </c>
      <c r="AR245">
        <v>65.209999999999994</v>
      </c>
      <c r="AS245" t="s">
        <v>86</v>
      </c>
      <c r="AT245" t="s">
        <v>86</v>
      </c>
      <c r="AU245">
        <v>0</v>
      </c>
      <c r="AV245">
        <v>0</v>
      </c>
    </row>
    <row r="246" spans="1:48" x14ac:dyDescent="0.3">
      <c r="A246">
        <v>4270</v>
      </c>
      <c r="B246" t="s">
        <v>104</v>
      </c>
      <c r="C246" t="s">
        <v>739</v>
      </c>
      <c r="D246" t="s">
        <v>740</v>
      </c>
      <c r="E246" t="s">
        <v>105</v>
      </c>
      <c r="F246" t="s">
        <v>416</v>
      </c>
      <c r="G246" t="s">
        <v>417</v>
      </c>
      <c r="H246">
        <v>0</v>
      </c>
      <c r="I246">
        <v>0</v>
      </c>
      <c r="J246" t="s">
        <v>106</v>
      </c>
      <c r="K246" t="s">
        <v>106</v>
      </c>
      <c r="N246" s="9">
        <v>46141</v>
      </c>
      <c r="O246">
        <v>10669</v>
      </c>
      <c r="P246">
        <v>1</v>
      </c>
      <c r="Q246">
        <v>15</v>
      </c>
      <c r="R246" t="s">
        <v>86</v>
      </c>
      <c r="S246" t="s">
        <v>87</v>
      </c>
      <c r="T246" t="s">
        <v>89</v>
      </c>
      <c r="U246" t="s">
        <v>839</v>
      </c>
      <c r="V246">
        <v>2026</v>
      </c>
      <c r="W246">
        <v>2026</v>
      </c>
      <c r="X246" t="s">
        <v>107</v>
      </c>
      <c r="Y246">
        <v>0</v>
      </c>
      <c r="Z246">
        <v>0</v>
      </c>
      <c r="AA246">
        <v>0</v>
      </c>
      <c r="AB246" t="s">
        <v>88</v>
      </c>
      <c r="AC246">
        <v>85</v>
      </c>
      <c r="AD246">
        <v>84669</v>
      </c>
      <c r="AE246" t="s">
        <v>108</v>
      </c>
      <c r="AF246">
        <v>1825.9</v>
      </c>
      <c r="AG246">
        <v>5050.3500000000004</v>
      </c>
      <c r="AH246">
        <v>0</v>
      </c>
      <c r="AI246">
        <v>150000</v>
      </c>
      <c r="AJ246">
        <v>0</v>
      </c>
      <c r="AK246">
        <v>150000</v>
      </c>
      <c r="AL246">
        <v>10000</v>
      </c>
      <c r="AM246">
        <v>10000</v>
      </c>
      <c r="AN246">
        <v>521.69000000000005</v>
      </c>
      <c r="AO246">
        <v>0</v>
      </c>
      <c r="AP246">
        <v>130.41999999999999</v>
      </c>
      <c r="AQ246">
        <v>65.209999999999994</v>
      </c>
      <c r="AR246">
        <v>65.209999999999994</v>
      </c>
      <c r="AS246" t="s">
        <v>86</v>
      </c>
      <c r="AT246" t="s">
        <v>86</v>
      </c>
      <c r="AU246">
        <v>0</v>
      </c>
      <c r="AV246">
        <v>0</v>
      </c>
    </row>
    <row r="247" spans="1:48" x14ac:dyDescent="0.3">
      <c r="A247">
        <v>4271</v>
      </c>
      <c r="B247" t="s">
        <v>104</v>
      </c>
      <c r="C247" t="s">
        <v>741</v>
      </c>
      <c r="D247" t="s">
        <v>742</v>
      </c>
      <c r="E247" t="s">
        <v>105</v>
      </c>
      <c r="F247" t="s">
        <v>416</v>
      </c>
      <c r="G247" t="s">
        <v>417</v>
      </c>
      <c r="H247">
        <v>0</v>
      </c>
      <c r="I247">
        <v>0</v>
      </c>
      <c r="J247" t="s">
        <v>106</v>
      </c>
      <c r="K247" t="s">
        <v>106</v>
      </c>
      <c r="N247" s="9">
        <v>46141</v>
      </c>
      <c r="O247">
        <v>10669</v>
      </c>
      <c r="P247">
        <v>1</v>
      </c>
      <c r="Q247">
        <v>16</v>
      </c>
      <c r="R247" t="s">
        <v>86</v>
      </c>
      <c r="S247" t="s">
        <v>87</v>
      </c>
      <c r="T247" t="s">
        <v>89</v>
      </c>
      <c r="U247" t="s">
        <v>839</v>
      </c>
      <c r="V247">
        <v>2026</v>
      </c>
      <c r="W247">
        <v>2026</v>
      </c>
      <c r="X247" t="s">
        <v>107</v>
      </c>
      <c r="Y247">
        <v>0</v>
      </c>
      <c r="Z247">
        <v>0</v>
      </c>
      <c r="AA247">
        <v>0</v>
      </c>
      <c r="AB247" t="s">
        <v>88</v>
      </c>
      <c r="AC247">
        <v>85</v>
      </c>
      <c r="AD247">
        <v>84669</v>
      </c>
      <c r="AE247" t="s">
        <v>108</v>
      </c>
      <c r="AF247">
        <v>1825.9</v>
      </c>
      <c r="AG247">
        <v>5050.3500000000004</v>
      </c>
      <c r="AH247">
        <v>0</v>
      </c>
      <c r="AI247">
        <v>150000</v>
      </c>
      <c r="AJ247">
        <v>0</v>
      </c>
      <c r="AK247">
        <v>150000</v>
      </c>
      <c r="AL247">
        <v>10000</v>
      </c>
      <c r="AM247">
        <v>10000</v>
      </c>
      <c r="AN247">
        <v>521.69000000000005</v>
      </c>
      <c r="AO247">
        <v>0</v>
      </c>
      <c r="AP247">
        <v>130.41999999999999</v>
      </c>
      <c r="AQ247">
        <v>65.209999999999994</v>
      </c>
      <c r="AR247">
        <v>65.209999999999994</v>
      </c>
      <c r="AS247" t="s">
        <v>86</v>
      </c>
      <c r="AT247" t="s">
        <v>86</v>
      </c>
      <c r="AU247">
        <v>0</v>
      </c>
      <c r="AV247">
        <v>0</v>
      </c>
    </row>
    <row r="248" spans="1:48" x14ac:dyDescent="0.3">
      <c r="A248">
        <v>4272</v>
      </c>
      <c r="B248" t="s">
        <v>104</v>
      </c>
      <c r="C248" t="s">
        <v>743</v>
      </c>
      <c r="D248" t="s">
        <v>744</v>
      </c>
      <c r="E248" t="s">
        <v>105</v>
      </c>
      <c r="F248" t="s">
        <v>542</v>
      </c>
      <c r="G248" t="s">
        <v>543</v>
      </c>
      <c r="H248">
        <v>0</v>
      </c>
      <c r="I248">
        <v>0</v>
      </c>
      <c r="J248" t="s">
        <v>106</v>
      </c>
      <c r="K248" t="s">
        <v>106</v>
      </c>
      <c r="N248" s="9">
        <v>46141</v>
      </c>
      <c r="O248">
        <v>10670</v>
      </c>
      <c r="P248">
        <v>1</v>
      </c>
      <c r="Q248">
        <v>4</v>
      </c>
      <c r="R248" t="s">
        <v>86</v>
      </c>
      <c r="S248" t="s">
        <v>87</v>
      </c>
      <c r="T248" t="s">
        <v>89</v>
      </c>
      <c r="U248" t="s">
        <v>839</v>
      </c>
      <c r="V248">
        <v>2026</v>
      </c>
      <c r="W248">
        <v>2026</v>
      </c>
      <c r="X248" t="s">
        <v>107</v>
      </c>
      <c r="Y248">
        <v>0</v>
      </c>
      <c r="Z248">
        <v>0</v>
      </c>
      <c r="AA248">
        <v>0</v>
      </c>
      <c r="AB248" t="s">
        <v>88</v>
      </c>
      <c r="AC248">
        <v>85</v>
      </c>
      <c r="AD248">
        <v>84669</v>
      </c>
      <c r="AE248" t="s">
        <v>108</v>
      </c>
      <c r="AF248">
        <v>1825.9</v>
      </c>
      <c r="AG248">
        <v>5050.3500000000004</v>
      </c>
      <c r="AH248">
        <v>0</v>
      </c>
      <c r="AI248">
        <v>150000</v>
      </c>
      <c r="AJ248">
        <v>0</v>
      </c>
      <c r="AK248">
        <v>150000</v>
      </c>
      <c r="AL248">
        <v>10000</v>
      </c>
      <c r="AM248">
        <v>10000</v>
      </c>
      <c r="AN248">
        <v>521.69000000000005</v>
      </c>
      <c r="AO248">
        <v>0</v>
      </c>
      <c r="AP248">
        <v>130.41999999999999</v>
      </c>
      <c r="AQ248">
        <v>65.209999999999994</v>
      </c>
      <c r="AR248">
        <v>65.209999999999994</v>
      </c>
      <c r="AS248" t="s">
        <v>86</v>
      </c>
      <c r="AT248" t="s">
        <v>86</v>
      </c>
      <c r="AU248">
        <v>0</v>
      </c>
      <c r="AV248">
        <v>0</v>
      </c>
    </row>
    <row r="249" spans="1:48" x14ac:dyDescent="0.3">
      <c r="A249">
        <v>4273</v>
      </c>
      <c r="B249" t="s">
        <v>104</v>
      </c>
      <c r="C249" t="s">
        <v>747</v>
      </c>
      <c r="D249" t="s">
        <v>748</v>
      </c>
      <c r="E249" t="s">
        <v>105</v>
      </c>
      <c r="F249" t="s">
        <v>745</v>
      </c>
      <c r="G249" t="s">
        <v>746</v>
      </c>
      <c r="H249">
        <v>0</v>
      </c>
      <c r="I249">
        <v>0</v>
      </c>
      <c r="J249" t="s">
        <v>106</v>
      </c>
      <c r="K249" t="s">
        <v>106</v>
      </c>
      <c r="N249" s="9">
        <v>46141</v>
      </c>
      <c r="O249">
        <v>10132</v>
      </c>
      <c r="P249">
        <v>2</v>
      </c>
      <c r="Q249">
        <v>1</v>
      </c>
      <c r="R249" t="s">
        <v>86</v>
      </c>
      <c r="S249" t="s">
        <v>87</v>
      </c>
      <c r="T249" t="s">
        <v>126</v>
      </c>
      <c r="U249" t="s">
        <v>851</v>
      </c>
      <c r="V249">
        <v>2026</v>
      </c>
      <c r="W249">
        <v>2026</v>
      </c>
      <c r="X249" t="s">
        <v>107</v>
      </c>
      <c r="Y249">
        <v>0</v>
      </c>
      <c r="Z249">
        <v>0</v>
      </c>
      <c r="AA249">
        <v>0</v>
      </c>
      <c r="AB249" t="s">
        <v>127</v>
      </c>
      <c r="AC249">
        <v>85</v>
      </c>
      <c r="AD249">
        <v>97320</v>
      </c>
      <c r="AE249" t="s">
        <v>108</v>
      </c>
      <c r="AF249">
        <v>2105.8200000000002</v>
      </c>
      <c r="AG249">
        <v>5824.6</v>
      </c>
      <c r="AH249">
        <v>0</v>
      </c>
      <c r="AI249">
        <v>150000</v>
      </c>
      <c r="AJ249">
        <v>0</v>
      </c>
      <c r="AK249">
        <v>150000</v>
      </c>
      <c r="AL249">
        <v>10000</v>
      </c>
      <c r="AM249">
        <v>10000</v>
      </c>
      <c r="AN249">
        <v>601.66</v>
      </c>
      <c r="AO249">
        <v>0</v>
      </c>
      <c r="AP249">
        <v>150.41999999999999</v>
      </c>
      <c r="AQ249">
        <v>75.209999999999994</v>
      </c>
      <c r="AR249">
        <v>75.209999999999994</v>
      </c>
      <c r="AS249" t="s">
        <v>86</v>
      </c>
      <c r="AT249" t="s">
        <v>86</v>
      </c>
      <c r="AU249">
        <v>0</v>
      </c>
      <c r="AV249">
        <v>0</v>
      </c>
    </row>
    <row r="250" spans="1:48" x14ac:dyDescent="0.3">
      <c r="A250">
        <v>4274</v>
      </c>
      <c r="B250" t="s">
        <v>104</v>
      </c>
      <c r="C250" t="s">
        <v>749</v>
      </c>
      <c r="D250" t="s">
        <v>750</v>
      </c>
      <c r="E250" t="s">
        <v>105</v>
      </c>
      <c r="F250" t="s">
        <v>149</v>
      </c>
      <c r="G250" t="s">
        <v>150</v>
      </c>
      <c r="H250">
        <v>0</v>
      </c>
      <c r="I250">
        <v>0</v>
      </c>
      <c r="J250" t="s">
        <v>106</v>
      </c>
      <c r="K250" t="s">
        <v>106</v>
      </c>
      <c r="N250" s="9">
        <v>46141</v>
      </c>
      <c r="O250">
        <v>10681</v>
      </c>
      <c r="P250">
        <v>1</v>
      </c>
      <c r="Q250">
        <v>39</v>
      </c>
      <c r="R250" t="s">
        <v>86</v>
      </c>
      <c r="S250" t="s">
        <v>87</v>
      </c>
      <c r="T250" t="s">
        <v>89</v>
      </c>
      <c r="U250" t="s">
        <v>839</v>
      </c>
      <c r="V250">
        <v>2026</v>
      </c>
      <c r="W250">
        <v>2026</v>
      </c>
      <c r="X250" t="s">
        <v>107</v>
      </c>
      <c r="Y250">
        <v>0</v>
      </c>
      <c r="Z250">
        <v>0</v>
      </c>
      <c r="AA250">
        <v>0</v>
      </c>
      <c r="AB250" t="s">
        <v>88</v>
      </c>
      <c r="AC250">
        <v>85</v>
      </c>
      <c r="AD250">
        <v>84669</v>
      </c>
      <c r="AE250" t="s">
        <v>108</v>
      </c>
      <c r="AF250">
        <v>1825.9</v>
      </c>
      <c r="AG250">
        <v>5050.3500000000004</v>
      </c>
      <c r="AH250">
        <v>0</v>
      </c>
      <c r="AI250">
        <v>150000</v>
      </c>
      <c r="AJ250">
        <v>0</v>
      </c>
      <c r="AK250">
        <v>150000</v>
      </c>
      <c r="AL250">
        <v>10000</v>
      </c>
      <c r="AM250">
        <v>10000</v>
      </c>
      <c r="AN250">
        <v>521.69000000000005</v>
      </c>
      <c r="AO250">
        <v>0</v>
      </c>
      <c r="AP250">
        <v>130.41999999999999</v>
      </c>
      <c r="AQ250">
        <v>65.209999999999994</v>
      </c>
      <c r="AR250">
        <v>65.209999999999994</v>
      </c>
      <c r="AS250" t="s">
        <v>86</v>
      </c>
      <c r="AT250" t="s">
        <v>86</v>
      </c>
      <c r="AU250">
        <v>0</v>
      </c>
      <c r="AV250">
        <v>0</v>
      </c>
    </row>
    <row r="251" spans="1:48" x14ac:dyDescent="0.3">
      <c r="A251">
        <v>4275</v>
      </c>
      <c r="B251" t="s">
        <v>104</v>
      </c>
      <c r="C251" t="s">
        <v>751</v>
      </c>
      <c r="D251" t="s">
        <v>752</v>
      </c>
      <c r="E251" t="s">
        <v>105</v>
      </c>
      <c r="F251" t="s">
        <v>149</v>
      </c>
      <c r="G251" t="s">
        <v>150</v>
      </c>
      <c r="H251">
        <v>0</v>
      </c>
      <c r="I251">
        <v>0</v>
      </c>
      <c r="J251" t="s">
        <v>106</v>
      </c>
      <c r="K251" t="s">
        <v>106</v>
      </c>
      <c r="N251" s="9">
        <v>46141</v>
      </c>
      <c r="O251">
        <v>10681</v>
      </c>
      <c r="P251">
        <v>1</v>
      </c>
      <c r="Q251">
        <v>40</v>
      </c>
      <c r="R251" t="s">
        <v>86</v>
      </c>
      <c r="S251" t="s">
        <v>87</v>
      </c>
      <c r="T251" t="s">
        <v>89</v>
      </c>
      <c r="U251" t="s">
        <v>839</v>
      </c>
      <c r="V251">
        <v>2026</v>
      </c>
      <c r="W251">
        <v>2026</v>
      </c>
      <c r="X251" t="s">
        <v>107</v>
      </c>
      <c r="Y251">
        <v>0</v>
      </c>
      <c r="Z251">
        <v>0</v>
      </c>
      <c r="AA251">
        <v>0</v>
      </c>
      <c r="AB251" t="s">
        <v>88</v>
      </c>
      <c r="AC251">
        <v>85</v>
      </c>
      <c r="AD251">
        <v>84669</v>
      </c>
      <c r="AE251" t="s">
        <v>108</v>
      </c>
      <c r="AF251">
        <v>1825.9</v>
      </c>
      <c r="AG251">
        <v>5050.3500000000004</v>
      </c>
      <c r="AH251">
        <v>0</v>
      </c>
      <c r="AI251">
        <v>150000</v>
      </c>
      <c r="AJ251">
        <v>0</v>
      </c>
      <c r="AK251">
        <v>150000</v>
      </c>
      <c r="AL251">
        <v>10000</v>
      </c>
      <c r="AM251">
        <v>10000</v>
      </c>
      <c r="AN251">
        <v>521.69000000000005</v>
      </c>
      <c r="AO251">
        <v>0</v>
      </c>
      <c r="AP251">
        <v>130.41999999999999</v>
      </c>
      <c r="AQ251">
        <v>65.209999999999994</v>
      </c>
      <c r="AR251">
        <v>65.209999999999994</v>
      </c>
      <c r="AS251" t="s">
        <v>86</v>
      </c>
      <c r="AT251" t="s">
        <v>86</v>
      </c>
      <c r="AU251">
        <v>0</v>
      </c>
      <c r="AV251">
        <v>0</v>
      </c>
    </row>
    <row r="252" spans="1:48" x14ac:dyDescent="0.3">
      <c r="A252">
        <v>4276</v>
      </c>
      <c r="B252" t="s">
        <v>104</v>
      </c>
      <c r="C252" t="s">
        <v>753</v>
      </c>
      <c r="D252" t="s">
        <v>754</v>
      </c>
      <c r="E252" t="s">
        <v>105</v>
      </c>
      <c r="F252" t="s">
        <v>149</v>
      </c>
      <c r="G252" t="s">
        <v>150</v>
      </c>
      <c r="H252">
        <v>0</v>
      </c>
      <c r="I252">
        <v>0</v>
      </c>
      <c r="J252" t="s">
        <v>106</v>
      </c>
      <c r="K252" t="s">
        <v>106</v>
      </c>
      <c r="N252" s="9">
        <v>46141</v>
      </c>
      <c r="O252">
        <v>10681</v>
      </c>
      <c r="P252">
        <v>1</v>
      </c>
      <c r="Q252">
        <v>41</v>
      </c>
      <c r="R252" t="s">
        <v>86</v>
      </c>
      <c r="S252" t="s">
        <v>87</v>
      </c>
      <c r="T252" t="s">
        <v>89</v>
      </c>
      <c r="U252" t="s">
        <v>839</v>
      </c>
      <c r="V252">
        <v>2026</v>
      </c>
      <c r="W252">
        <v>2026</v>
      </c>
      <c r="X252" t="s">
        <v>107</v>
      </c>
      <c r="Y252">
        <v>0</v>
      </c>
      <c r="Z252">
        <v>0</v>
      </c>
      <c r="AA252">
        <v>0</v>
      </c>
      <c r="AB252" t="s">
        <v>88</v>
      </c>
      <c r="AC252">
        <v>85</v>
      </c>
      <c r="AD252">
        <v>84669</v>
      </c>
      <c r="AE252" t="s">
        <v>108</v>
      </c>
      <c r="AF252">
        <v>1825.9</v>
      </c>
      <c r="AG252">
        <v>5050.3500000000004</v>
      </c>
      <c r="AH252">
        <v>0</v>
      </c>
      <c r="AI252">
        <v>150000</v>
      </c>
      <c r="AJ252">
        <v>0</v>
      </c>
      <c r="AK252">
        <v>150000</v>
      </c>
      <c r="AL252">
        <v>10000</v>
      </c>
      <c r="AM252">
        <v>10000</v>
      </c>
      <c r="AN252">
        <v>521.69000000000005</v>
      </c>
      <c r="AO252">
        <v>0</v>
      </c>
      <c r="AP252">
        <v>130.41999999999999</v>
      </c>
      <c r="AQ252">
        <v>65.209999999999994</v>
      </c>
      <c r="AR252">
        <v>65.209999999999994</v>
      </c>
      <c r="AS252" t="s">
        <v>86</v>
      </c>
      <c r="AT252" t="s">
        <v>86</v>
      </c>
      <c r="AU252">
        <v>0</v>
      </c>
      <c r="AV252">
        <v>0</v>
      </c>
    </row>
    <row r="253" spans="1:48" x14ac:dyDescent="0.3">
      <c r="A253">
        <v>4277</v>
      </c>
      <c r="B253" t="s">
        <v>104</v>
      </c>
      <c r="C253" t="s">
        <v>755</v>
      </c>
      <c r="D253" t="s">
        <v>756</v>
      </c>
      <c r="E253" t="s">
        <v>105</v>
      </c>
      <c r="F253" t="s">
        <v>149</v>
      </c>
      <c r="G253" t="s">
        <v>150</v>
      </c>
      <c r="H253">
        <v>0</v>
      </c>
      <c r="I253">
        <v>0</v>
      </c>
      <c r="J253" t="s">
        <v>106</v>
      </c>
      <c r="K253" t="s">
        <v>106</v>
      </c>
      <c r="N253" s="9">
        <v>46141</v>
      </c>
      <c r="O253">
        <v>10681</v>
      </c>
      <c r="P253">
        <v>1</v>
      </c>
      <c r="Q253">
        <v>42</v>
      </c>
      <c r="R253" t="s">
        <v>86</v>
      </c>
      <c r="S253" t="s">
        <v>87</v>
      </c>
      <c r="T253" t="s">
        <v>89</v>
      </c>
      <c r="U253" t="s">
        <v>839</v>
      </c>
      <c r="V253">
        <v>2026</v>
      </c>
      <c r="W253">
        <v>2026</v>
      </c>
      <c r="X253" t="s">
        <v>107</v>
      </c>
      <c r="Y253">
        <v>0</v>
      </c>
      <c r="Z253">
        <v>0</v>
      </c>
      <c r="AA253">
        <v>0</v>
      </c>
      <c r="AB253" t="s">
        <v>88</v>
      </c>
      <c r="AC253">
        <v>85</v>
      </c>
      <c r="AD253">
        <v>84669</v>
      </c>
      <c r="AE253" t="s">
        <v>108</v>
      </c>
      <c r="AF253">
        <v>1825.9</v>
      </c>
      <c r="AG253">
        <v>5050.3500000000004</v>
      </c>
      <c r="AH253">
        <v>0</v>
      </c>
      <c r="AI253">
        <v>150000</v>
      </c>
      <c r="AJ253">
        <v>0</v>
      </c>
      <c r="AK253">
        <v>150000</v>
      </c>
      <c r="AL253">
        <v>10000</v>
      </c>
      <c r="AM253">
        <v>10000</v>
      </c>
      <c r="AN253">
        <v>521.69000000000005</v>
      </c>
      <c r="AO253">
        <v>0</v>
      </c>
      <c r="AP253">
        <v>130.41999999999999</v>
      </c>
      <c r="AQ253">
        <v>65.209999999999994</v>
      </c>
      <c r="AR253">
        <v>65.209999999999994</v>
      </c>
      <c r="AS253" t="s">
        <v>86</v>
      </c>
      <c r="AT253" t="s">
        <v>86</v>
      </c>
      <c r="AU253">
        <v>0</v>
      </c>
      <c r="AV253">
        <v>0</v>
      </c>
    </row>
    <row r="254" spans="1:48" x14ac:dyDescent="0.3">
      <c r="A254">
        <v>4278</v>
      </c>
      <c r="B254" t="s">
        <v>104</v>
      </c>
      <c r="C254" t="s">
        <v>757</v>
      </c>
      <c r="D254" t="s">
        <v>758</v>
      </c>
      <c r="E254" t="s">
        <v>105</v>
      </c>
      <c r="F254" t="s">
        <v>149</v>
      </c>
      <c r="G254" t="s">
        <v>150</v>
      </c>
      <c r="H254">
        <v>0</v>
      </c>
      <c r="I254">
        <v>0</v>
      </c>
      <c r="J254" t="s">
        <v>106</v>
      </c>
      <c r="K254" t="s">
        <v>106</v>
      </c>
      <c r="N254" s="9">
        <v>46141</v>
      </c>
      <c r="O254">
        <v>10681</v>
      </c>
      <c r="P254">
        <v>1</v>
      </c>
      <c r="Q254">
        <v>43</v>
      </c>
      <c r="R254" t="s">
        <v>86</v>
      </c>
      <c r="S254" t="s">
        <v>87</v>
      </c>
      <c r="T254" t="s">
        <v>89</v>
      </c>
      <c r="U254" t="s">
        <v>839</v>
      </c>
      <c r="V254">
        <v>2026</v>
      </c>
      <c r="W254">
        <v>2026</v>
      </c>
      <c r="X254" t="s">
        <v>107</v>
      </c>
      <c r="Y254">
        <v>0</v>
      </c>
      <c r="Z254">
        <v>0</v>
      </c>
      <c r="AA254">
        <v>0</v>
      </c>
      <c r="AB254" t="s">
        <v>88</v>
      </c>
      <c r="AC254">
        <v>85</v>
      </c>
      <c r="AD254">
        <v>84669</v>
      </c>
      <c r="AE254" t="s">
        <v>108</v>
      </c>
      <c r="AF254">
        <v>1825.9</v>
      </c>
      <c r="AG254">
        <v>5050.3500000000004</v>
      </c>
      <c r="AH254">
        <v>0</v>
      </c>
      <c r="AI254">
        <v>150000</v>
      </c>
      <c r="AJ254">
        <v>0</v>
      </c>
      <c r="AK254">
        <v>150000</v>
      </c>
      <c r="AL254">
        <v>10000</v>
      </c>
      <c r="AM254">
        <v>10000</v>
      </c>
      <c r="AN254">
        <v>521.69000000000005</v>
      </c>
      <c r="AO254">
        <v>0</v>
      </c>
      <c r="AP254">
        <v>130.41999999999999</v>
      </c>
      <c r="AQ254">
        <v>65.209999999999994</v>
      </c>
      <c r="AR254">
        <v>65.209999999999994</v>
      </c>
      <c r="AS254" t="s">
        <v>86</v>
      </c>
      <c r="AT254" t="s">
        <v>86</v>
      </c>
      <c r="AU254">
        <v>0</v>
      </c>
      <c r="AV254">
        <v>0</v>
      </c>
    </row>
    <row r="255" spans="1:48" x14ac:dyDescent="0.3">
      <c r="A255">
        <v>4279</v>
      </c>
      <c r="B255" t="s">
        <v>104</v>
      </c>
      <c r="C255" t="s">
        <v>759</v>
      </c>
      <c r="D255" t="s">
        <v>760</v>
      </c>
      <c r="E255" t="s">
        <v>105</v>
      </c>
      <c r="F255" t="s">
        <v>149</v>
      </c>
      <c r="G255" t="s">
        <v>150</v>
      </c>
      <c r="H255">
        <v>0</v>
      </c>
      <c r="I255">
        <v>0</v>
      </c>
      <c r="J255" t="s">
        <v>106</v>
      </c>
      <c r="K255" t="s">
        <v>106</v>
      </c>
      <c r="N255" s="9">
        <v>46141</v>
      </c>
      <c r="O255">
        <v>10681</v>
      </c>
      <c r="P255">
        <v>1</v>
      </c>
      <c r="Q255">
        <v>44</v>
      </c>
      <c r="R255" t="s">
        <v>86</v>
      </c>
      <c r="S255" t="s">
        <v>87</v>
      </c>
      <c r="T255" t="s">
        <v>89</v>
      </c>
      <c r="U255" t="s">
        <v>839</v>
      </c>
      <c r="V255">
        <v>2026</v>
      </c>
      <c r="W255">
        <v>2026</v>
      </c>
      <c r="X255" t="s">
        <v>107</v>
      </c>
      <c r="Y255">
        <v>0</v>
      </c>
      <c r="Z255">
        <v>0</v>
      </c>
      <c r="AA255">
        <v>0</v>
      </c>
      <c r="AB255" t="s">
        <v>88</v>
      </c>
      <c r="AC255">
        <v>85</v>
      </c>
      <c r="AD255">
        <v>84669</v>
      </c>
      <c r="AE255" t="s">
        <v>108</v>
      </c>
      <c r="AF255">
        <v>1825.9</v>
      </c>
      <c r="AG255">
        <v>5050.3500000000004</v>
      </c>
      <c r="AH255">
        <v>0</v>
      </c>
      <c r="AI255">
        <v>150000</v>
      </c>
      <c r="AJ255">
        <v>0</v>
      </c>
      <c r="AK255">
        <v>150000</v>
      </c>
      <c r="AL255">
        <v>10000</v>
      </c>
      <c r="AM255">
        <v>10000</v>
      </c>
      <c r="AN255">
        <v>521.69000000000005</v>
      </c>
      <c r="AO255">
        <v>0</v>
      </c>
      <c r="AP255">
        <v>130.41999999999999</v>
      </c>
      <c r="AQ255">
        <v>65.209999999999994</v>
      </c>
      <c r="AR255">
        <v>65.209999999999994</v>
      </c>
      <c r="AS255" t="s">
        <v>86</v>
      </c>
      <c r="AT255" t="s">
        <v>86</v>
      </c>
      <c r="AU255">
        <v>0</v>
      </c>
      <c r="AV255">
        <v>0</v>
      </c>
    </row>
    <row r="256" spans="1:48" x14ac:dyDescent="0.3">
      <c r="A256">
        <v>4194</v>
      </c>
      <c r="B256" t="s">
        <v>104</v>
      </c>
      <c r="C256" t="s">
        <v>761</v>
      </c>
      <c r="D256" t="s">
        <v>762</v>
      </c>
      <c r="E256" t="s">
        <v>105</v>
      </c>
      <c r="F256" t="s">
        <v>578</v>
      </c>
      <c r="G256" t="s">
        <v>579</v>
      </c>
      <c r="H256">
        <v>0</v>
      </c>
      <c r="I256">
        <v>0</v>
      </c>
      <c r="J256" t="s">
        <v>106</v>
      </c>
      <c r="K256" t="s">
        <v>106</v>
      </c>
      <c r="N256" s="9">
        <v>46139</v>
      </c>
      <c r="O256">
        <v>10151</v>
      </c>
      <c r="P256">
        <v>4</v>
      </c>
      <c r="Q256">
        <v>2</v>
      </c>
      <c r="R256" t="s">
        <v>86</v>
      </c>
      <c r="S256" t="s">
        <v>87</v>
      </c>
      <c r="T256" t="s">
        <v>89</v>
      </c>
      <c r="U256" t="s">
        <v>844</v>
      </c>
      <c r="V256">
        <v>2026</v>
      </c>
      <c r="W256">
        <v>2026</v>
      </c>
      <c r="X256" t="s">
        <v>107</v>
      </c>
      <c r="Y256">
        <v>0</v>
      </c>
      <c r="Z256">
        <v>0</v>
      </c>
      <c r="AA256">
        <v>0</v>
      </c>
      <c r="AB256" t="s">
        <v>88</v>
      </c>
      <c r="AC256">
        <v>85</v>
      </c>
      <c r="AD256">
        <v>84669</v>
      </c>
      <c r="AE256" t="s">
        <v>108</v>
      </c>
      <c r="AF256">
        <v>1825.9</v>
      </c>
      <c r="AG256">
        <v>5050.3500000000004</v>
      </c>
      <c r="AH256">
        <v>0</v>
      </c>
      <c r="AI256">
        <v>150000</v>
      </c>
      <c r="AJ256">
        <v>0</v>
      </c>
      <c r="AK256">
        <v>150000</v>
      </c>
      <c r="AL256">
        <v>10000</v>
      </c>
      <c r="AM256">
        <v>10000</v>
      </c>
      <c r="AN256">
        <v>521.69000000000005</v>
      </c>
      <c r="AO256">
        <v>0</v>
      </c>
      <c r="AP256">
        <v>130.41999999999999</v>
      </c>
      <c r="AQ256">
        <v>65.209999999999994</v>
      </c>
      <c r="AR256">
        <v>65.209999999999994</v>
      </c>
      <c r="AS256" t="s">
        <v>86</v>
      </c>
      <c r="AT256" t="s">
        <v>86</v>
      </c>
      <c r="AU256">
        <v>0</v>
      </c>
      <c r="AV256">
        <v>0</v>
      </c>
    </row>
    <row r="257" spans="1:48" x14ac:dyDescent="0.3">
      <c r="A257">
        <v>4191</v>
      </c>
      <c r="B257" t="s">
        <v>104</v>
      </c>
      <c r="C257" t="s">
        <v>763</v>
      </c>
      <c r="D257" t="s">
        <v>764</v>
      </c>
      <c r="E257" t="s">
        <v>105</v>
      </c>
      <c r="F257" t="s">
        <v>578</v>
      </c>
      <c r="G257" t="s">
        <v>579</v>
      </c>
      <c r="H257">
        <v>0</v>
      </c>
      <c r="I257">
        <v>0</v>
      </c>
      <c r="J257" t="s">
        <v>106</v>
      </c>
      <c r="K257" t="s">
        <v>106</v>
      </c>
      <c r="N257" s="9">
        <v>46139</v>
      </c>
      <c r="O257">
        <v>10151</v>
      </c>
      <c r="P257">
        <v>5</v>
      </c>
      <c r="Q257">
        <v>4</v>
      </c>
      <c r="R257" t="s">
        <v>86</v>
      </c>
      <c r="S257" t="s">
        <v>87</v>
      </c>
      <c r="T257" t="s">
        <v>89</v>
      </c>
      <c r="U257" t="s">
        <v>844</v>
      </c>
      <c r="V257">
        <v>2026</v>
      </c>
      <c r="W257">
        <v>2026</v>
      </c>
      <c r="X257" t="s">
        <v>107</v>
      </c>
      <c r="Y257">
        <v>0</v>
      </c>
      <c r="Z257">
        <v>0</v>
      </c>
      <c r="AA257">
        <v>0</v>
      </c>
      <c r="AB257" t="s">
        <v>88</v>
      </c>
      <c r="AC257">
        <v>85</v>
      </c>
      <c r="AD257">
        <v>84669</v>
      </c>
      <c r="AE257" t="s">
        <v>108</v>
      </c>
      <c r="AF257">
        <v>1825.9</v>
      </c>
      <c r="AG257">
        <v>5050.3500000000004</v>
      </c>
      <c r="AH257">
        <v>0</v>
      </c>
      <c r="AI257">
        <v>150000</v>
      </c>
      <c r="AJ257">
        <v>0</v>
      </c>
      <c r="AK257">
        <v>150000</v>
      </c>
      <c r="AL257">
        <v>10000</v>
      </c>
      <c r="AM257">
        <v>10000</v>
      </c>
      <c r="AN257">
        <v>521.69000000000005</v>
      </c>
      <c r="AO257">
        <v>0</v>
      </c>
      <c r="AP257">
        <v>130.41999999999999</v>
      </c>
      <c r="AQ257">
        <v>65.209999999999994</v>
      </c>
      <c r="AR257">
        <v>65.209999999999994</v>
      </c>
      <c r="AS257" t="s">
        <v>86</v>
      </c>
      <c r="AT257" t="s">
        <v>86</v>
      </c>
      <c r="AU257">
        <v>0</v>
      </c>
      <c r="AV257">
        <v>0</v>
      </c>
    </row>
    <row r="258" spans="1:48" x14ac:dyDescent="0.3">
      <c r="A258">
        <v>4134</v>
      </c>
      <c r="B258" t="s">
        <v>104</v>
      </c>
      <c r="C258" t="s">
        <v>177</v>
      </c>
      <c r="D258" t="s">
        <v>176</v>
      </c>
      <c r="E258" t="s">
        <v>110</v>
      </c>
      <c r="F258" t="s">
        <v>157</v>
      </c>
      <c r="G258" t="s">
        <v>158</v>
      </c>
      <c r="H258">
        <v>841</v>
      </c>
      <c r="I258">
        <v>14</v>
      </c>
      <c r="J258" t="s">
        <v>106</v>
      </c>
      <c r="K258" t="s">
        <v>106</v>
      </c>
      <c r="L258" s="9">
        <v>46023</v>
      </c>
      <c r="M258" s="9">
        <v>46082</v>
      </c>
      <c r="N258" s="9">
        <v>46136</v>
      </c>
      <c r="O258">
        <v>10427</v>
      </c>
      <c r="P258">
        <v>6</v>
      </c>
      <c r="Q258">
        <v>1</v>
      </c>
      <c r="R258" t="s">
        <v>86</v>
      </c>
      <c r="S258" t="s">
        <v>87</v>
      </c>
      <c r="T258" t="s">
        <v>141</v>
      </c>
      <c r="U258" t="s">
        <v>852</v>
      </c>
      <c r="V258">
        <v>2024</v>
      </c>
      <c r="W258">
        <v>2024</v>
      </c>
      <c r="X258" t="s">
        <v>112</v>
      </c>
      <c r="Y258">
        <v>0</v>
      </c>
      <c r="Z258">
        <v>0</v>
      </c>
      <c r="AA258">
        <v>0</v>
      </c>
      <c r="AB258" t="s">
        <v>125</v>
      </c>
      <c r="AC258">
        <v>85</v>
      </c>
      <c r="AD258">
        <v>379499</v>
      </c>
      <c r="AE258" t="s">
        <v>113</v>
      </c>
      <c r="AF258">
        <v>3473.48</v>
      </c>
      <c r="AG258">
        <v>21835</v>
      </c>
      <c r="AH258">
        <v>0</v>
      </c>
      <c r="AI258">
        <v>300000</v>
      </c>
      <c r="AJ258">
        <v>0</v>
      </c>
      <c r="AK258">
        <v>300000</v>
      </c>
      <c r="AL258">
        <v>10000</v>
      </c>
      <c r="AM258">
        <v>10000</v>
      </c>
      <c r="AN258">
        <v>992.42</v>
      </c>
      <c r="AO258">
        <v>0</v>
      </c>
      <c r="AP258">
        <v>248.11</v>
      </c>
      <c r="AQ258">
        <v>124.05</v>
      </c>
      <c r="AR258">
        <v>124.05</v>
      </c>
      <c r="AS258" t="s">
        <v>86</v>
      </c>
      <c r="AT258" t="s">
        <v>86</v>
      </c>
      <c r="AU258">
        <v>0</v>
      </c>
      <c r="AV258">
        <v>0</v>
      </c>
    </row>
    <row r="259" spans="1:48" x14ac:dyDescent="0.3">
      <c r="A259">
        <v>4195</v>
      </c>
      <c r="B259" t="s">
        <v>104</v>
      </c>
      <c r="C259" t="s">
        <v>765</v>
      </c>
      <c r="D259" t="s">
        <v>766</v>
      </c>
      <c r="E259" t="s">
        <v>105</v>
      </c>
      <c r="F259" t="s">
        <v>578</v>
      </c>
      <c r="G259" t="s">
        <v>579</v>
      </c>
      <c r="H259">
        <v>0</v>
      </c>
      <c r="I259">
        <v>0</v>
      </c>
      <c r="J259" t="s">
        <v>106</v>
      </c>
      <c r="K259" t="s">
        <v>106</v>
      </c>
      <c r="N259" s="9">
        <v>46139</v>
      </c>
      <c r="O259">
        <v>10151</v>
      </c>
      <c r="P259">
        <v>4</v>
      </c>
      <c r="Q259">
        <v>3</v>
      </c>
      <c r="R259" t="s">
        <v>86</v>
      </c>
      <c r="S259" t="s">
        <v>87</v>
      </c>
      <c r="T259" t="s">
        <v>89</v>
      </c>
      <c r="U259" t="s">
        <v>844</v>
      </c>
      <c r="V259">
        <v>2026</v>
      </c>
      <c r="W259">
        <v>2026</v>
      </c>
      <c r="X259" t="s">
        <v>107</v>
      </c>
      <c r="Y259">
        <v>0</v>
      </c>
      <c r="Z259">
        <v>0</v>
      </c>
      <c r="AA259">
        <v>0</v>
      </c>
      <c r="AB259" t="s">
        <v>88</v>
      </c>
      <c r="AC259">
        <v>85</v>
      </c>
      <c r="AD259">
        <v>84669</v>
      </c>
      <c r="AE259" t="s">
        <v>108</v>
      </c>
      <c r="AF259">
        <v>1825.9</v>
      </c>
      <c r="AG259">
        <v>5050.3500000000004</v>
      </c>
      <c r="AH259">
        <v>0</v>
      </c>
      <c r="AI259">
        <v>150000</v>
      </c>
      <c r="AJ259">
        <v>0</v>
      </c>
      <c r="AK259">
        <v>150000</v>
      </c>
      <c r="AL259">
        <v>10000</v>
      </c>
      <c r="AM259">
        <v>10000</v>
      </c>
      <c r="AN259">
        <v>521.69000000000005</v>
      </c>
      <c r="AO259">
        <v>0</v>
      </c>
      <c r="AP259">
        <v>130.41999999999999</v>
      </c>
      <c r="AQ259">
        <v>65.209999999999994</v>
      </c>
      <c r="AR259">
        <v>65.209999999999994</v>
      </c>
      <c r="AS259" t="s">
        <v>86</v>
      </c>
      <c r="AT259" t="s">
        <v>86</v>
      </c>
      <c r="AU259">
        <v>0</v>
      </c>
      <c r="AV259">
        <v>0</v>
      </c>
    </row>
    <row r="260" spans="1:48" x14ac:dyDescent="0.3">
      <c r="A260">
        <v>4295</v>
      </c>
      <c r="B260" t="s">
        <v>104</v>
      </c>
      <c r="C260" t="s">
        <v>769</v>
      </c>
      <c r="D260" t="s">
        <v>770</v>
      </c>
      <c r="E260" t="s">
        <v>131</v>
      </c>
      <c r="F260" t="s">
        <v>767</v>
      </c>
      <c r="G260" t="s">
        <v>768</v>
      </c>
      <c r="H260">
        <v>0</v>
      </c>
      <c r="I260">
        <v>0</v>
      </c>
      <c r="J260" t="s">
        <v>106</v>
      </c>
      <c r="K260" t="s">
        <v>106</v>
      </c>
      <c r="N260" s="9">
        <v>46142</v>
      </c>
      <c r="O260">
        <v>10702</v>
      </c>
      <c r="P260">
        <v>1</v>
      </c>
      <c r="Q260">
        <v>1</v>
      </c>
      <c r="R260" t="s">
        <v>86</v>
      </c>
      <c r="S260" t="s">
        <v>87</v>
      </c>
      <c r="T260" t="s">
        <v>134</v>
      </c>
      <c r="U260" t="s">
        <v>847</v>
      </c>
      <c r="V260">
        <v>2026</v>
      </c>
      <c r="W260">
        <v>2026</v>
      </c>
      <c r="X260" t="s">
        <v>107</v>
      </c>
      <c r="Y260">
        <v>0</v>
      </c>
      <c r="Z260">
        <v>0</v>
      </c>
      <c r="AA260">
        <v>0</v>
      </c>
      <c r="AB260" t="s">
        <v>135</v>
      </c>
      <c r="AC260">
        <v>85</v>
      </c>
      <c r="AD260">
        <v>133163</v>
      </c>
      <c r="AE260" t="s">
        <v>113</v>
      </c>
      <c r="AF260">
        <v>2331.69</v>
      </c>
      <c r="AG260">
        <v>8069.1</v>
      </c>
      <c r="AH260">
        <v>0</v>
      </c>
      <c r="AI260">
        <v>300000</v>
      </c>
      <c r="AJ260">
        <v>0</v>
      </c>
      <c r="AK260">
        <v>300000</v>
      </c>
      <c r="AL260">
        <v>10000</v>
      </c>
      <c r="AM260">
        <v>10000</v>
      </c>
      <c r="AN260">
        <v>645.27</v>
      </c>
      <c r="AO260">
        <v>0</v>
      </c>
      <c r="AP260">
        <v>161.32</v>
      </c>
      <c r="AQ260">
        <v>83.27</v>
      </c>
      <c r="AR260">
        <v>83.27</v>
      </c>
      <c r="AS260" t="s">
        <v>86</v>
      </c>
      <c r="AT260" t="s">
        <v>86</v>
      </c>
      <c r="AU260">
        <v>0</v>
      </c>
      <c r="AV260">
        <v>0</v>
      </c>
    </row>
    <row r="261" spans="1:48" x14ac:dyDescent="0.3">
      <c r="A261">
        <v>4296</v>
      </c>
      <c r="B261" t="s">
        <v>104</v>
      </c>
      <c r="C261" t="s">
        <v>773</v>
      </c>
      <c r="D261" t="s">
        <v>774</v>
      </c>
      <c r="E261" t="s">
        <v>138</v>
      </c>
      <c r="F261" t="s">
        <v>771</v>
      </c>
      <c r="G261" t="s">
        <v>772</v>
      </c>
      <c r="H261">
        <v>0</v>
      </c>
      <c r="I261">
        <v>0</v>
      </c>
      <c r="J261" t="s">
        <v>106</v>
      </c>
      <c r="K261" t="s">
        <v>106</v>
      </c>
      <c r="N261" s="9">
        <v>46142</v>
      </c>
      <c r="O261">
        <v>10595</v>
      </c>
      <c r="P261">
        <v>1</v>
      </c>
      <c r="Q261">
        <v>1</v>
      </c>
      <c r="R261" t="s">
        <v>86</v>
      </c>
      <c r="S261" t="s">
        <v>87</v>
      </c>
      <c r="T261" t="s">
        <v>91</v>
      </c>
      <c r="U261" t="s">
        <v>114</v>
      </c>
      <c r="V261">
        <v>2024</v>
      </c>
      <c r="W261">
        <v>2024</v>
      </c>
      <c r="X261" t="s">
        <v>112</v>
      </c>
      <c r="Y261">
        <v>0</v>
      </c>
      <c r="Z261">
        <v>103020</v>
      </c>
      <c r="AA261">
        <v>0</v>
      </c>
      <c r="AB261" t="s">
        <v>93</v>
      </c>
      <c r="AC261">
        <v>85</v>
      </c>
      <c r="AD261">
        <v>450414</v>
      </c>
      <c r="AE261" t="s">
        <v>853</v>
      </c>
      <c r="AF261">
        <v>5263.78</v>
      </c>
      <c r="AG261">
        <v>25136.6</v>
      </c>
      <c r="AH261">
        <v>0</v>
      </c>
      <c r="AI261">
        <v>300000</v>
      </c>
      <c r="AJ261">
        <v>0</v>
      </c>
      <c r="AK261">
        <v>300000</v>
      </c>
      <c r="AL261">
        <v>10000</v>
      </c>
      <c r="AM261">
        <v>10000</v>
      </c>
      <c r="AN261">
        <v>1503.94</v>
      </c>
      <c r="AO261">
        <v>0</v>
      </c>
      <c r="AP261">
        <v>375.98</v>
      </c>
      <c r="AQ261">
        <v>187.99</v>
      </c>
      <c r="AR261">
        <v>187.99</v>
      </c>
      <c r="AS261" t="s">
        <v>86</v>
      </c>
      <c r="AT261" t="s">
        <v>86</v>
      </c>
      <c r="AU261">
        <v>0</v>
      </c>
      <c r="AV261">
        <v>0</v>
      </c>
    </row>
    <row r="262" spans="1:48" x14ac:dyDescent="0.3">
      <c r="A262">
        <v>4297</v>
      </c>
      <c r="B262" t="s">
        <v>104</v>
      </c>
      <c r="C262" t="s">
        <v>775</v>
      </c>
      <c r="D262" t="s">
        <v>776</v>
      </c>
      <c r="E262" t="s">
        <v>105</v>
      </c>
      <c r="F262" t="s">
        <v>416</v>
      </c>
      <c r="G262" t="s">
        <v>417</v>
      </c>
      <c r="H262">
        <v>0</v>
      </c>
      <c r="I262">
        <v>0</v>
      </c>
      <c r="J262" t="s">
        <v>106</v>
      </c>
      <c r="K262" t="s">
        <v>106</v>
      </c>
      <c r="N262" s="9">
        <v>46142</v>
      </c>
      <c r="O262">
        <v>10669</v>
      </c>
      <c r="P262">
        <v>1</v>
      </c>
      <c r="Q262">
        <v>18</v>
      </c>
      <c r="R262" t="s">
        <v>86</v>
      </c>
      <c r="S262" t="s">
        <v>87</v>
      </c>
      <c r="T262" t="s">
        <v>89</v>
      </c>
      <c r="U262" t="s">
        <v>839</v>
      </c>
      <c r="V262">
        <v>2026</v>
      </c>
      <c r="W262">
        <v>2026</v>
      </c>
      <c r="X262" t="s">
        <v>107</v>
      </c>
      <c r="Y262">
        <v>0</v>
      </c>
      <c r="Z262">
        <v>0</v>
      </c>
      <c r="AA262">
        <v>0</v>
      </c>
      <c r="AB262" t="s">
        <v>88</v>
      </c>
      <c r="AC262">
        <v>85</v>
      </c>
      <c r="AD262">
        <v>84669</v>
      </c>
      <c r="AE262" t="s">
        <v>108</v>
      </c>
      <c r="AF262">
        <v>1825.9</v>
      </c>
      <c r="AG262">
        <v>5050.3500000000004</v>
      </c>
      <c r="AH262">
        <v>0</v>
      </c>
      <c r="AI262">
        <v>150000</v>
      </c>
      <c r="AJ262">
        <v>0</v>
      </c>
      <c r="AK262">
        <v>150000</v>
      </c>
      <c r="AL262">
        <v>10000</v>
      </c>
      <c r="AM262">
        <v>10000</v>
      </c>
      <c r="AN262">
        <v>521.69000000000005</v>
      </c>
      <c r="AO262">
        <v>0</v>
      </c>
      <c r="AP262">
        <v>130.41999999999999</v>
      </c>
      <c r="AQ262">
        <v>65.209999999999994</v>
      </c>
      <c r="AR262">
        <v>65.209999999999994</v>
      </c>
      <c r="AS262" t="s">
        <v>86</v>
      </c>
      <c r="AT262" t="s">
        <v>86</v>
      </c>
      <c r="AU262">
        <v>0</v>
      </c>
      <c r="AV262">
        <v>0</v>
      </c>
    </row>
    <row r="263" spans="1:48" x14ac:dyDescent="0.3">
      <c r="A263">
        <v>4298</v>
      </c>
      <c r="B263" t="s">
        <v>104</v>
      </c>
      <c r="C263" t="s">
        <v>777</v>
      </c>
      <c r="D263" t="s">
        <v>778</v>
      </c>
      <c r="E263" t="s">
        <v>105</v>
      </c>
      <c r="F263" t="s">
        <v>542</v>
      </c>
      <c r="G263" t="s">
        <v>543</v>
      </c>
      <c r="H263">
        <v>0</v>
      </c>
      <c r="I263">
        <v>0</v>
      </c>
      <c r="J263" t="s">
        <v>106</v>
      </c>
      <c r="K263" t="s">
        <v>106</v>
      </c>
      <c r="N263" s="9">
        <v>46142</v>
      </c>
      <c r="O263">
        <v>10670</v>
      </c>
      <c r="P263">
        <v>1</v>
      </c>
      <c r="Q263">
        <v>5</v>
      </c>
      <c r="R263" t="s">
        <v>86</v>
      </c>
      <c r="S263" t="s">
        <v>87</v>
      </c>
      <c r="T263" t="s">
        <v>89</v>
      </c>
      <c r="U263" t="s">
        <v>839</v>
      </c>
      <c r="V263">
        <v>2026</v>
      </c>
      <c r="W263">
        <v>2026</v>
      </c>
      <c r="X263" t="s">
        <v>107</v>
      </c>
      <c r="Y263">
        <v>0</v>
      </c>
      <c r="Z263">
        <v>0</v>
      </c>
      <c r="AA263">
        <v>0</v>
      </c>
      <c r="AB263" t="s">
        <v>88</v>
      </c>
      <c r="AC263">
        <v>85</v>
      </c>
      <c r="AD263">
        <v>84669</v>
      </c>
      <c r="AE263" t="s">
        <v>108</v>
      </c>
      <c r="AF263">
        <v>1825.9</v>
      </c>
      <c r="AG263">
        <v>5050.3500000000004</v>
      </c>
      <c r="AH263">
        <v>0</v>
      </c>
      <c r="AI263">
        <v>150000</v>
      </c>
      <c r="AJ263">
        <v>0</v>
      </c>
      <c r="AK263">
        <v>150000</v>
      </c>
      <c r="AL263">
        <v>10000</v>
      </c>
      <c r="AM263">
        <v>10000</v>
      </c>
      <c r="AN263">
        <v>521.69000000000005</v>
      </c>
      <c r="AO263">
        <v>0</v>
      </c>
      <c r="AP263">
        <v>130.41999999999999</v>
      </c>
      <c r="AQ263">
        <v>65.209999999999994</v>
      </c>
      <c r="AR263">
        <v>65.209999999999994</v>
      </c>
      <c r="AS263" t="s">
        <v>86</v>
      </c>
      <c r="AT263" t="s">
        <v>86</v>
      </c>
      <c r="AU263">
        <v>0</v>
      </c>
      <c r="AV263">
        <v>0</v>
      </c>
    </row>
    <row r="264" spans="1:48" x14ac:dyDescent="0.3">
      <c r="A264">
        <v>4299</v>
      </c>
      <c r="B264" t="s">
        <v>104</v>
      </c>
      <c r="C264" t="s">
        <v>779</v>
      </c>
      <c r="D264" t="s">
        <v>780</v>
      </c>
      <c r="E264" t="s">
        <v>105</v>
      </c>
      <c r="F264" t="s">
        <v>542</v>
      </c>
      <c r="G264" t="s">
        <v>543</v>
      </c>
      <c r="H264">
        <v>0</v>
      </c>
      <c r="I264">
        <v>0</v>
      </c>
      <c r="J264" t="s">
        <v>106</v>
      </c>
      <c r="K264" t="s">
        <v>106</v>
      </c>
      <c r="N264" s="9">
        <v>46142</v>
      </c>
      <c r="O264">
        <v>10670</v>
      </c>
      <c r="P264">
        <v>1</v>
      </c>
      <c r="Q264">
        <v>6</v>
      </c>
      <c r="R264" t="s">
        <v>86</v>
      </c>
      <c r="S264" t="s">
        <v>87</v>
      </c>
      <c r="T264" t="s">
        <v>89</v>
      </c>
      <c r="U264" t="s">
        <v>839</v>
      </c>
      <c r="V264">
        <v>2026</v>
      </c>
      <c r="W264">
        <v>2026</v>
      </c>
      <c r="X264" t="s">
        <v>107</v>
      </c>
      <c r="Y264">
        <v>0</v>
      </c>
      <c r="Z264">
        <v>0</v>
      </c>
      <c r="AA264">
        <v>0</v>
      </c>
      <c r="AB264" t="s">
        <v>88</v>
      </c>
      <c r="AC264">
        <v>85</v>
      </c>
      <c r="AD264">
        <v>84669</v>
      </c>
      <c r="AE264" t="s">
        <v>108</v>
      </c>
      <c r="AF264">
        <v>1825.9</v>
      </c>
      <c r="AG264">
        <v>5050.3500000000004</v>
      </c>
      <c r="AH264">
        <v>0</v>
      </c>
      <c r="AI264">
        <v>150000</v>
      </c>
      <c r="AJ264">
        <v>0</v>
      </c>
      <c r="AK264">
        <v>150000</v>
      </c>
      <c r="AL264">
        <v>10000</v>
      </c>
      <c r="AM264">
        <v>10000</v>
      </c>
      <c r="AN264">
        <v>521.69000000000005</v>
      </c>
      <c r="AO264">
        <v>0</v>
      </c>
      <c r="AP264">
        <v>130.41999999999999</v>
      </c>
      <c r="AQ264">
        <v>65.209999999999994</v>
      </c>
      <c r="AR264">
        <v>65.209999999999994</v>
      </c>
      <c r="AS264" t="s">
        <v>86</v>
      </c>
      <c r="AT264" t="s">
        <v>86</v>
      </c>
      <c r="AU264">
        <v>0</v>
      </c>
      <c r="AV264">
        <v>0</v>
      </c>
    </row>
    <row r="265" spans="1:48" x14ac:dyDescent="0.3">
      <c r="A265">
        <v>4300</v>
      </c>
      <c r="B265" t="s">
        <v>104</v>
      </c>
      <c r="C265" t="s">
        <v>781</v>
      </c>
      <c r="D265" t="s">
        <v>782</v>
      </c>
      <c r="E265" t="s">
        <v>105</v>
      </c>
      <c r="F265" t="s">
        <v>142</v>
      </c>
      <c r="G265" t="s">
        <v>143</v>
      </c>
      <c r="H265">
        <v>0</v>
      </c>
      <c r="I265">
        <v>0</v>
      </c>
      <c r="J265" t="s">
        <v>106</v>
      </c>
      <c r="K265" t="s">
        <v>106</v>
      </c>
      <c r="N265" s="9">
        <v>46142</v>
      </c>
      <c r="O265">
        <v>10625</v>
      </c>
      <c r="P265">
        <v>2</v>
      </c>
      <c r="Q265">
        <v>1</v>
      </c>
      <c r="R265" t="s">
        <v>86</v>
      </c>
      <c r="S265" t="s">
        <v>87</v>
      </c>
      <c r="T265" t="s">
        <v>126</v>
      </c>
      <c r="U265" t="s">
        <v>854</v>
      </c>
      <c r="V265">
        <v>2026</v>
      </c>
      <c r="W265">
        <v>2026</v>
      </c>
      <c r="X265" t="s">
        <v>107</v>
      </c>
      <c r="Y265">
        <v>0</v>
      </c>
      <c r="Z265">
        <v>0</v>
      </c>
      <c r="AA265">
        <v>0</v>
      </c>
      <c r="AB265" t="s">
        <v>127</v>
      </c>
      <c r="AC265">
        <v>85</v>
      </c>
      <c r="AD265">
        <v>97320</v>
      </c>
      <c r="AE265" t="s">
        <v>108</v>
      </c>
      <c r="AF265">
        <v>2078.5700000000002</v>
      </c>
      <c r="AG265">
        <v>5749.2</v>
      </c>
      <c r="AH265">
        <v>0</v>
      </c>
      <c r="AI265">
        <v>150000</v>
      </c>
      <c r="AJ265">
        <v>0</v>
      </c>
      <c r="AK265">
        <v>150000</v>
      </c>
      <c r="AL265">
        <v>10000</v>
      </c>
      <c r="AM265">
        <v>10000</v>
      </c>
      <c r="AN265">
        <v>593.88</v>
      </c>
      <c r="AO265">
        <v>0</v>
      </c>
      <c r="AP265">
        <v>148.47</v>
      </c>
      <c r="AQ265">
        <v>74.23</v>
      </c>
      <c r="AR265">
        <v>74.23</v>
      </c>
      <c r="AS265" t="s">
        <v>86</v>
      </c>
      <c r="AT265" t="s">
        <v>86</v>
      </c>
      <c r="AU265">
        <v>0</v>
      </c>
      <c r="AV265">
        <v>0</v>
      </c>
    </row>
    <row r="266" spans="1:48" x14ac:dyDescent="0.3">
      <c r="A266">
        <v>4301</v>
      </c>
      <c r="B266" t="s">
        <v>104</v>
      </c>
      <c r="C266" t="s">
        <v>785</v>
      </c>
      <c r="D266" t="s">
        <v>786</v>
      </c>
      <c r="E266" t="s">
        <v>105</v>
      </c>
      <c r="F266" t="s">
        <v>783</v>
      </c>
      <c r="G266" t="s">
        <v>784</v>
      </c>
      <c r="H266">
        <v>0</v>
      </c>
      <c r="I266">
        <v>0</v>
      </c>
      <c r="J266" t="s">
        <v>106</v>
      </c>
      <c r="K266" t="s">
        <v>106</v>
      </c>
      <c r="N266" s="9">
        <v>46142</v>
      </c>
      <c r="O266">
        <v>10638</v>
      </c>
      <c r="P266">
        <v>1</v>
      </c>
      <c r="Q266">
        <v>1</v>
      </c>
      <c r="R266" t="s">
        <v>86</v>
      </c>
      <c r="S266" t="s">
        <v>87</v>
      </c>
      <c r="T266" t="s">
        <v>94</v>
      </c>
      <c r="U266" t="s">
        <v>855</v>
      </c>
      <c r="V266">
        <v>2026</v>
      </c>
      <c r="W266">
        <v>2026</v>
      </c>
      <c r="X266" t="s">
        <v>107</v>
      </c>
      <c r="Y266">
        <v>0</v>
      </c>
      <c r="Z266">
        <v>0</v>
      </c>
      <c r="AA266">
        <v>0</v>
      </c>
      <c r="AB266" t="s">
        <v>96</v>
      </c>
      <c r="AC266">
        <v>85</v>
      </c>
      <c r="AD266">
        <v>128041</v>
      </c>
      <c r="AE266" t="s">
        <v>108</v>
      </c>
      <c r="AF266">
        <v>2272.4299999999998</v>
      </c>
      <c r="AG266">
        <v>6978.5</v>
      </c>
      <c r="AH266">
        <v>0</v>
      </c>
      <c r="AI266">
        <v>150000</v>
      </c>
      <c r="AJ266">
        <v>0</v>
      </c>
      <c r="AK266">
        <v>150000</v>
      </c>
      <c r="AL266">
        <v>10000</v>
      </c>
      <c r="AM266">
        <v>10000</v>
      </c>
      <c r="AN266">
        <v>649.27</v>
      </c>
      <c r="AO266">
        <v>0</v>
      </c>
      <c r="AP266">
        <v>162.32</v>
      </c>
      <c r="AQ266">
        <v>81.16</v>
      </c>
      <c r="AR266">
        <v>81.16</v>
      </c>
      <c r="AS266" t="s">
        <v>86</v>
      </c>
      <c r="AT266" t="s">
        <v>86</v>
      </c>
      <c r="AU266">
        <v>0</v>
      </c>
      <c r="AV266">
        <v>0</v>
      </c>
    </row>
    <row r="267" spans="1:48" x14ac:dyDescent="0.3">
      <c r="A267">
        <v>4302</v>
      </c>
      <c r="B267" t="s">
        <v>104</v>
      </c>
      <c r="C267" t="s">
        <v>787</v>
      </c>
      <c r="D267" t="s">
        <v>788</v>
      </c>
      <c r="E267" t="s">
        <v>105</v>
      </c>
      <c r="F267" t="s">
        <v>149</v>
      </c>
      <c r="G267" t="s">
        <v>150</v>
      </c>
      <c r="H267">
        <v>0</v>
      </c>
      <c r="I267">
        <v>0</v>
      </c>
      <c r="J267" t="s">
        <v>106</v>
      </c>
      <c r="K267" t="s">
        <v>106</v>
      </c>
      <c r="N267" s="9">
        <v>46142</v>
      </c>
      <c r="O267">
        <v>10681</v>
      </c>
      <c r="P267">
        <v>1</v>
      </c>
      <c r="Q267">
        <v>45</v>
      </c>
      <c r="R267" t="s">
        <v>86</v>
      </c>
      <c r="S267" t="s">
        <v>87</v>
      </c>
      <c r="T267" t="s">
        <v>89</v>
      </c>
      <c r="U267" t="s">
        <v>839</v>
      </c>
      <c r="V267">
        <v>2026</v>
      </c>
      <c r="W267">
        <v>2026</v>
      </c>
      <c r="X267" t="s">
        <v>107</v>
      </c>
      <c r="Y267">
        <v>0</v>
      </c>
      <c r="Z267">
        <v>0</v>
      </c>
      <c r="AA267">
        <v>0</v>
      </c>
      <c r="AB267" t="s">
        <v>88</v>
      </c>
      <c r="AC267">
        <v>85</v>
      </c>
      <c r="AD267">
        <v>84669</v>
      </c>
      <c r="AE267" t="s">
        <v>108</v>
      </c>
      <c r="AF267">
        <v>1825.9</v>
      </c>
      <c r="AG267">
        <v>5050.3500000000004</v>
      </c>
      <c r="AH267">
        <v>0</v>
      </c>
      <c r="AI267">
        <v>150000</v>
      </c>
      <c r="AJ267">
        <v>0</v>
      </c>
      <c r="AK267">
        <v>150000</v>
      </c>
      <c r="AL267">
        <v>10000</v>
      </c>
      <c r="AM267">
        <v>10000</v>
      </c>
      <c r="AN267">
        <v>521.69000000000005</v>
      </c>
      <c r="AO267">
        <v>0</v>
      </c>
      <c r="AP267">
        <v>130.41999999999999</v>
      </c>
      <c r="AQ267">
        <v>65.209999999999994</v>
      </c>
      <c r="AR267">
        <v>65.209999999999994</v>
      </c>
      <c r="AS267" t="s">
        <v>86</v>
      </c>
      <c r="AT267" t="s">
        <v>86</v>
      </c>
      <c r="AU267">
        <v>0</v>
      </c>
      <c r="AV267">
        <v>0</v>
      </c>
    </row>
    <row r="268" spans="1:48" x14ac:dyDescent="0.3">
      <c r="A268">
        <v>4303</v>
      </c>
      <c r="B268" t="s">
        <v>104</v>
      </c>
      <c r="C268" t="s">
        <v>789</v>
      </c>
      <c r="D268" t="s">
        <v>790</v>
      </c>
      <c r="E268" t="s">
        <v>105</v>
      </c>
      <c r="F268" t="s">
        <v>149</v>
      </c>
      <c r="G268" t="s">
        <v>150</v>
      </c>
      <c r="H268">
        <v>0</v>
      </c>
      <c r="I268">
        <v>0</v>
      </c>
      <c r="J268" t="s">
        <v>106</v>
      </c>
      <c r="K268" t="s">
        <v>106</v>
      </c>
      <c r="N268" s="9">
        <v>46142</v>
      </c>
      <c r="O268">
        <v>10681</v>
      </c>
      <c r="P268">
        <v>1</v>
      </c>
      <c r="Q268">
        <v>46</v>
      </c>
      <c r="R268" t="s">
        <v>86</v>
      </c>
      <c r="S268" t="s">
        <v>87</v>
      </c>
      <c r="T268" t="s">
        <v>89</v>
      </c>
      <c r="U268" t="s">
        <v>839</v>
      </c>
      <c r="V268">
        <v>2026</v>
      </c>
      <c r="W268">
        <v>2026</v>
      </c>
      <c r="X268" t="s">
        <v>107</v>
      </c>
      <c r="Y268">
        <v>0</v>
      </c>
      <c r="Z268">
        <v>0</v>
      </c>
      <c r="AA268">
        <v>0</v>
      </c>
      <c r="AB268" t="s">
        <v>88</v>
      </c>
      <c r="AC268">
        <v>85</v>
      </c>
      <c r="AD268">
        <v>84669</v>
      </c>
      <c r="AE268" t="s">
        <v>108</v>
      </c>
      <c r="AF268">
        <v>1825.9</v>
      </c>
      <c r="AG268">
        <v>5050.3500000000004</v>
      </c>
      <c r="AH268">
        <v>0</v>
      </c>
      <c r="AI268">
        <v>150000</v>
      </c>
      <c r="AJ268">
        <v>0</v>
      </c>
      <c r="AK268">
        <v>150000</v>
      </c>
      <c r="AL268">
        <v>10000</v>
      </c>
      <c r="AM268">
        <v>10000</v>
      </c>
      <c r="AN268">
        <v>521.69000000000005</v>
      </c>
      <c r="AO268">
        <v>0</v>
      </c>
      <c r="AP268">
        <v>130.41999999999999</v>
      </c>
      <c r="AQ268">
        <v>65.209999999999994</v>
      </c>
      <c r="AR268">
        <v>65.209999999999994</v>
      </c>
      <c r="AS268" t="s">
        <v>86</v>
      </c>
      <c r="AT268" t="s">
        <v>86</v>
      </c>
      <c r="AU268">
        <v>0</v>
      </c>
      <c r="AV268">
        <v>0</v>
      </c>
    </row>
    <row r="269" spans="1:48" x14ac:dyDescent="0.3">
      <c r="A269">
        <v>4304</v>
      </c>
      <c r="B269" t="s">
        <v>104</v>
      </c>
      <c r="C269" t="s">
        <v>791</v>
      </c>
      <c r="D269" t="s">
        <v>792</v>
      </c>
      <c r="E269" t="s">
        <v>105</v>
      </c>
      <c r="F269" t="s">
        <v>149</v>
      </c>
      <c r="G269" t="s">
        <v>150</v>
      </c>
      <c r="H269">
        <v>0</v>
      </c>
      <c r="I269">
        <v>0</v>
      </c>
      <c r="J269" t="s">
        <v>106</v>
      </c>
      <c r="K269" t="s">
        <v>106</v>
      </c>
      <c r="N269" s="9">
        <v>46142</v>
      </c>
      <c r="O269">
        <v>10681</v>
      </c>
      <c r="P269">
        <v>1</v>
      </c>
      <c r="Q269">
        <v>47</v>
      </c>
      <c r="R269" t="s">
        <v>86</v>
      </c>
      <c r="S269" t="s">
        <v>87</v>
      </c>
      <c r="T269" t="s">
        <v>89</v>
      </c>
      <c r="U269" t="s">
        <v>839</v>
      </c>
      <c r="V269">
        <v>2026</v>
      </c>
      <c r="W269">
        <v>2026</v>
      </c>
      <c r="X269" t="s">
        <v>107</v>
      </c>
      <c r="Y269">
        <v>0</v>
      </c>
      <c r="Z269">
        <v>0</v>
      </c>
      <c r="AA269">
        <v>0</v>
      </c>
      <c r="AB269" t="s">
        <v>88</v>
      </c>
      <c r="AC269">
        <v>85</v>
      </c>
      <c r="AD269">
        <v>84669</v>
      </c>
      <c r="AE269" t="s">
        <v>108</v>
      </c>
      <c r="AF269">
        <v>1825.9</v>
      </c>
      <c r="AG269">
        <v>5050.3500000000004</v>
      </c>
      <c r="AH269">
        <v>0</v>
      </c>
      <c r="AI269">
        <v>150000</v>
      </c>
      <c r="AJ269">
        <v>0</v>
      </c>
      <c r="AK269">
        <v>150000</v>
      </c>
      <c r="AL269">
        <v>10000</v>
      </c>
      <c r="AM269">
        <v>10000</v>
      </c>
      <c r="AN269">
        <v>521.69000000000005</v>
      </c>
      <c r="AO269">
        <v>0</v>
      </c>
      <c r="AP269">
        <v>130.41999999999999</v>
      </c>
      <c r="AQ269">
        <v>65.209999999999994</v>
      </c>
      <c r="AR269">
        <v>65.209999999999994</v>
      </c>
      <c r="AS269" t="s">
        <v>86</v>
      </c>
      <c r="AT269" t="s">
        <v>86</v>
      </c>
      <c r="AU269">
        <v>0</v>
      </c>
      <c r="AV269">
        <v>0</v>
      </c>
    </row>
    <row r="270" spans="1:48" x14ac:dyDescent="0.3">
      <c r="A270">
        <v>4305</v>
      </c>
      <c r="B270" t="s">
        <v>104</v>
      </c>
      <c r="C270" t="s">
        <v>793</v>
      </c>
      <c r="D270" t="s">
        <v>794</v>
      </c>
      <c r="E270" t="s">
        <v>105</v>
      </c>
      <c r="F270" t="s">
        <v>149</v>
      </c>
      <c r="G270" t="s">
        <v>150</v>
      </c>
      <c r="H270">
        <v>0</v>
      </c>
      <c r="I270">
        <v>0</v>
      </c>
      <c r="J270" t="s">
        <v>106</v>
      </c>
      <c r="K270" t="s">
        <v>106</v>
      </c>
      <c r="N270" s="9">
        <v>46142</v>
      </c>
      <c r="O270">
        <v>10681</v>
      </c>
      <c r="P270">
        <v>1</v>
      </c>
      <c r="Q270">
        <v>48</v>
      </c>
      <c r="R270" t="s">
        <v>86</v>
      </c>
      <c r="S270" t="s">
        <v>87</v>
      </c>
      <c r="T270" t="s">
        <v>89</v>
      </c>
      <c r="U270" t="s">
        <v>839</v>
      </c>
      <c r="V270">
        <v>2026</v>
      </c>
      <c r="W270">
        <v>2026</v>
      </c>
      <c r="X270" t="s">
        <v>107</v>
      </c>
      <c r="Y270">
        <v>0</v>
      </c>
      <c r="Z270">
        <v>0</v>
      </c>
      <c r="AA270">
        <v>0</v>
      </c>
      <c r="AB270" t="s">
        <v>88</v>
      </c>
      <c r="AC270">
        <v>85</v>
      </c>
      <c r="AD270">
        <v>84669</v>
      </c>
      <c r="AE270" t="s">
        <v>108</v>
      </c>
      <c r="AF270">
        <v>1825.9</v>
      </c>
      <c r="AG270">
        <v>5050.3500000000004</v>
      </c>
      <c r="AH270">
        <v>0</v>
      </c>
      <c r="AI270">
        <v>150000</v>
      </c>
      <c r="AJ270">
        <v>0</v>
      </c>
      <c r="AK270">
        <v>150000</v>
      </c>
      <c r="AL270">
        <v>10000</v>
      </c>
      <c r="AM270">
        <v>10000</v>
      </c>
      <c r="AN270">
        <v>521.69000000000005</v>
      </c>
      <c r="AO270">
        <v>0</v>
      </c>
      <c r="AP270">
        <v>130.41999999999999</v>
      </c>
      <c r="AQ270">
        <v>65.209999999999994</v>
      </c>
      <c r="AR270">
        <v>65.209999999999994</v>
      </c>
      <c r="AS270" t="s">
        <v>86</v>
      </c>
      <c r="AT270" t="s">
        <v>86</v>
      </c>
      <c r="AU270">
        <v>0</v>
      </c>
      <c r="AV270">
        <v>0</v>
      </c>
    </row>
    <row r="271" spans="1:48" x14ac:dyDescent="0.3">
      <c r="A271">
        <v>4306</v>
      </c>
      <c r="B271" t="s">
        <v>104</v>
      </c>
      <c r="C271" t="s">
        <v>795</v>
      </c>
      <c r="D271" t="s">
        <v>796</v>
      </c>
      <c r="E271" t="s">
        <v>105</v>
      </c>
      <c r="F271" t="s">
        <v>149</v>
      </c>
      <c r="G271" t="s">
        <v>150</v>
      </c>
      <c r="H271">
        <v>0</v>
      </c>
      <c r="I271">
        <v>0</v>
      </c>
      <c r="J271" t="s">
        <v>106</v>
      </c>
      <c r="K271" t="s">
        <v>106</v>
      </c>
      <c r="N271" s="9">
        <v>46142</v>
      </c>
      <c r="O271">
        <v>10681</v>
      </c>
      <c r="P271">
        <v>1</v>
      </c>
      <c r="Q271">
        <v>49</v>
      </c>
      <c r="R271" t="s">
        <v>86</v>
      </c>
      <c r="S271" t="s">
        <v>87</v>
      </c>
      <c r="T271" t="s">
        <v>89</v>
      </c>
      <c r="U271" t="s">
        <v>839</v>
      </c>
      <c r="V271">
        <v>2026</v>
      </c>
      <c r="W271">
        <v>2026</v>
      </c>
      <c r="X271" t="s">
        <v>107</v>
      </c>
      <c r="Y271">
        <v>0</v>
      </c>
      <c r="Z271">
        <v>0</v>
      </c>
      <c r="AA271">
        <v>0</v>
      </c>
      <c r="AB271" t="s">
        <v>88</v>
      </c>
      <c r="AC271">
        <v>85</v>
      </c>
      <c r="AD271">
        <v>84669</v>
      </c>
      <c r="AE271" t="s">
        <v>108</v>
      </c>
      <c r="AF271">
        <v>1825.9</v>
      </c>
      <c r="AG271">
        <v>5050.3500000000004</v>
      </c>
      <c r="AH271">
        <v>0</v>
      </c>
      <c r="AI271">
        <v>150000</v>
      </c>
      <c r="AJ271">
        <v>0</v>
      </c>
      <c r="AK271">
        <v>150000</v>
      </c>
      <c r="AL271">
        <v>10000</v>
      </c>
      <c r="AM271">
        <v>10000</v>
      </c>
      <c r="AN271">
        <v>521.69000000000005</v>
      </c>
      <c r="AO271">
        <v>0</v>
      </c>
      <c r="AP271">
        <v>130.41999999999999</v>
      </c>
      <c r="AQ271">
        <v>65.209999999999994</v>
      </c>
      <c r="AR271">
        <v>65.209999999999994</v>
      </c>
      <c r="AS271" t="s">
        <v>86</v>
      </c>
      <c r="AT271" t="s">
        <v>86</v>
      </c>
      <c r="AU271">
        <v>0</v>
      </c>
      <c r="AV271">
        <v>0</v>
      </c>
    </row>
    <row r="272" spans="1:48" x14ac:dyDescent="0.3">
      <c r="A272">
        <v>4307</v>
      </c>
      <c r="B272" t="s">
        <v>104</v>
      </c>
      <c r="C272" t="s">
        <v>797</v>
      </c>
      <c r="D272" t="s">
        <v>798</v>
      </c>
      <c r="E272" t="s">
        <v>105</v>
      </c>
      <c r="F272" t="s">
        <v>157</v>
      </c>
      <c r="G272" t="s">
        <v>158</v>
      </c>
      <c r="H272">
        <v>0</v>
      </c>
      <c r="I272">
        <v>0</v>
      </c>
      <c r="J272" t="s">
        <v>106</v>
      </c>
      <c r="K272" t="s">
        <v>106</v>
      </c>
      <c r="N272" s="9">
        <v>46142</v>
      </c>
      <c r="O272">
        <v>10658</v>
      </c>
      <c r="P272">
        <v>1</v>
      </c>
      <c r="Q272">
        <v>3</v>
      </c>
      <c r="R272" t="s">
        <v>86</v>
      </c>
      <c r="S272" t="s">
        <v>87</v>
      </c>
      <c r="T272" t="s">
        <v>126</v>
      </c>
      <c r="U272" t="s">
        <v>856</v>
      </c>
      <c r="V272">
        <v>2026</v>
      </c>
      <c r="W272">
        <v>2026</v>
      </c>
      <c r="X272" t="s">
        <v>107</v>
      </c>
      <c r="Y272">
        <v>0</v>
      </c>
      <c r="Z272">
        <v>0</v>
      </c>
      <c r="AA272">
        <v>0</v>
      </c>
      <c r="AB272" t="s">
        <v>127</v>
      </c>
      <c r="AC272">
        <v>85</v>
      </c>
      <c r="AD272">
        <v>97320</v>
      </c>
      <c r="AE272" t="s">
        <v>108</v>
      </c>
      <c r="AF272">
        <v>2149.5</v>
      </c>
      <c r="AG272">
        <v>5945.4</v>
      </c>
      <c r="AH272">
        <v>0</v>
      </c>
      <c r="AI272">
        <v>150000</v>
      </c>
      <c r="AJ272">
        <v>0</v>
      </c>
      <c r="AK272">
        <v>150000</v>
      </c>
      <c r="AL272">
        <v>10000</v>
      </c>
      <c r="AM272">
        <v>10000</v>
      </c>
      <c r="AN272">
        <v>614.14</v>
      </c>
      <c r="AO272">
        <v>0</v>
      </c>
      <c r="AP272">
        <v>153.54</v>
      </c>
      <c r="AQ272">
        <v>76.77</v>
      </c>
      <c r="AR272">
        <v>76.77</v>
      </c>
      <c r="AS272" t="s">
        <v>86</v>
      </c>
      <c r="AT272" t="s">
        <v>86</v>
      </c>
      <c r="AU272">
        <v>0</v>
      </c>
      <c r="AV272">
        <v>0</v>
      </c>
    </row>
    <row r="273" spans="1:48" x14ac:dyDescent="0.3">
      <c r="A273">
        <v>4308</v>
      </c>
      <c r="B273" t="s">
        <v>104</v>
      </c>
      <c r="C273" t="s">
        <v>801</v>
      </c>
      <c r="D273" t="s">
        <v>802</v>
      </c>
      <c r="E273" t="s">
        <v>105</v>
      </c>
      <c r="F273" t="s">
        <v>799</v>
      </c>
      <c r="G273" t="s">
        <v>800</v>
      </c>
      <c r="H273">
        <v>0</v>
      </c>
      <c r="I273">
        <v>0</v>
      </c>
      <c r="J273" t="s">
        <v>106</v>
      </c>
      <c r="K273" t="s">
        <v>106</v>
      </c>
      <c r="N273" s="9">
        <v>46142</v>
      </c>
      <c r="O273">
        <v>10686</v>
      </c>
      <c r="P273">
        <v>1</v>
      </c>
      <c r="Q273">
        <v>1</v>
      </c>
      <c r="R273" t="s">
        <v>86</v>
      </c>
      <c r="S273" t="s">
        <v>87</v>
      </c>
      <c r="T273" t="s">
        <v>89</v>
      </c>
      <c r="U273" t="s">
        <v>839</v>
      </c>
      <c r="V273">
        <v>2026</v>
      </c>
      <c r="W273">
        <v>2026</v>
      </c>
      <c r="X273" t="s">
        <v>107</v>
      </c>
      <c r="Y273">
        <v>0</v>
      </c>
      <c r="Z273">
        <v>0</v>
      </c>
      <c r="AA273">
        <v>0</v>
      </c>
      <c r="AB273" t="s">
        <v>88</v>
      </c>
      <c r="AC273">
        <v>85</v>
      </c>
      <c r="AD273">
        <v>84669</v>
      </c>
      <c r="AE273" t="s">
        <v>128</v>
      </c>
      <c r="AF273">
        <v>1912.01</v>
      </c>
      <c r="AG273">
        <v>5339.9</v>
      </c>
      <c r="AH273">
        <v>0</v>
      </c>
      <c r="AI273">
        <v>500000</v>
      </c>
      <c r="AJ273">
        <v>0</v>
      </c>
      <c r="AK273">
        <v>500000</v>
      </c>
      <c r="AL273">
        <v>10000</v>
      </c>
      <c r="AM273">
        <v>10000</v>
      </c>
      <c r="AN273">
        <v>546.29</v>
      </c>
      <c r="AO273">
        <v>0</v>
      </c>
      <c r="AP273">
        <v>136.57</v>
      </c>
      <c r="AQ273">
        <v>68.290000000000006</v>
      </c>
      <c r="AR273">
        <v>68.290000000000006</v>
      </c>
      <c r="AS273" t="s">
        <v>86</v>
      </c>
      <c r="AT273" t="s">
        <v>86</v>
      </c>
      <c r="AU273">
        <v>0</v>
      </c>
      <c r="AV273">
        <v>0</v>
      </c>
    </row>
    <row r="274" spans="1:48" x14ac:dyDescent="0.3">
      <c r="A274">
        <v>4309</v>
      </c>
      <c r="B274" t="s">
        <v>104</v>
      </c>
      <c r="C274" t="s">
        <v>803</v>
      </c>
      <c r="D274" t="s">
        <v>804</v>
      </c>
      <c r="E274" t="s">
        <v>105</v>
      </c>
      <c r="F274" t="s">
        <v>799</v>
      </c>
      <c r="G274" t="s">
        <v>800</v>
      </c>
      <c r="H274">
        <v>0</v>
      </c>
      <c r="I274">
        <v>0</v>
      </c>
      <c r="J274" t="s">
        <v>106</v>
      </c>
      <c r="K274" t="s">
        <v>106</v>
      </c>
      <c r="N274" s="9">
        <v>46142</v>
      </c>
      <c r="O274">
        <v>10686</v>
      </c>
      <c r="P274">
        <v>1</v>
      </c>
      <c r="Q274">
        <v>2</v>
      </c>
      <c r="R274" t="s">
        <v>86</v>
      </c>
      <c r="S274" t="s">
        <v>87</v>
      </c>
      <c r="T274" t="s">
        <v>89</v>
      </c>
      <c r="U274" t="s">
        <v>839</v>
      </c>
      <c r="V274">
        <v>2026</v>
      </c>
      <c r="W274">
        <v>2026</v>
      </c>
      <c r="X274" t="s">
        <v>107</v>
      </c>
      <c r="Y274">
        <v>0</v>
      </c>
      <c r="Z274">
        <v>0</v>
      </c>
      <c r="AA274">
        <v>0</v>
      </c>
      <c r="AB274" t="s">
        <v>88</v>
      </c>
      <c r="AC274">
        <v>85</v>
      </c>
      <c r="AD274">
        <v>84669</v>
      </c>
      <c r="AE274" t="s">
        <v>128</v>
      </c>
      <c r="AF274">
        <v>1912.01</v>
      </c>
      <c r="AG274">
        <v>5339.9</v>
      </c>
      <c r="AH274">
        <v>0</v>
      </c>
      <c r="AI274">
        <v>500000</v>
      </c>
      <c r="AJ274">
        <v>0</v>
      </c>
      <c r="AK274">
        <v>500000</v>
      </c>
      <c r="AL274">
        <v>10000</v>
      </c>
      <c r="AM274">
        <v>10000</v>
      </c>
      <c r="AN274">
        <v>546.29</v>
      </c>
      <c r="AO274">
        <v>0</v>
      </c>
      <c r="AP274">
        <v>136.57</v>
      </c>
      <c r="AQ274">
        <v>68.290000000000006</v>
      </c>
      <c r="AR274">
        <v>68.290000000000006</v>
      </c>
      <c r="AS274" t="s">
        <v>86</v>
      </c>
      <c r="AT274" t="s">
        <v>86</v>
      </c>
      <c r="AU274">
        <v>0</v>
      </c>
      <c r="AV274">
        <v>0</v>
      </c>
    </row>
    <row r="275" spans="1:48" x14ac:dyDescent="0.3">
      <c r="A275">
        <v>4310</v>
      </c>
      <c r="B275" t="s">
        <v>104</v>
      </c>
      <c r="C275" t="s">
        <v>805</v>
      </c>
      <c r="D275" t="s">
        <v>806</v>
      </c>
      <c r="E275" t="s">
        <v>105</v>
      </c>
      <c r="F275" t="s">
        <v>799</v>
      </c>
      <c r="G275" t="s">
        <v>800</v>
      </c>
      <c r="H275">
        <v>0</v>
      </c>
      <c r="I275">
        <v>0</v>
      </c>
      <c r="J275" t="s">
        <v>106</v>
      </c>
      <c r="K275" t="s">
        <v>106</v>
      </c>
      <c r="N275" s="9">
        <v>46142</v>
      </c>
      <c r="O275">
        <v>10686</v>
      </c>
      <c r="P275">
        <v>3</v>
      </c>
      <c r="Q275">
        <v>1</v>
      </c>
      <c r="R275" t="s">
        <v>86</v>
      </c>
      <c r="S275" t="s">
        <v>87</v>
      </c>
      <c r="T275" t="s">
        <v>233</v>
      </c>
      <c r="U275" t="s">
        <v>857</v>
      </c>
      <c r="V275">
        <v>2025</v>
      </c>
      <c r="W275">
        <v>2026</v>
      </c>
      <c r="X275" t="s">
        <v>115</v>
      </c>
      <c r="Y275">
        <v>0</v>
      </c>
      <c r="Z275">
        <v>0</v>
      </c>
      <c r="AA275">
        <v>0</v>
      </c>
      <c r="AB275" t="s">
        <v>232</v>
      </c>
      <c r="AC275">
        <v>85</v>
      </c>
      <c r="AD275">
        <v>246902</v>
      </c>
      <c r="AE275" t="s">
        <v>128</v>
      </c>
      <c r="AF275">
        <v>3401.26</v>
      </c>
      <c r="AG275">
        <v>13437.55</v>
      </c>
      <c r="AH275">
        <v>0</v>
      </c>
      <c r="AI275">
        <v>500000</v>
      </c>
      <c r="AJ275">
        <v>0</v>
      </c>
      <c r="AK275">
        <v>500000</v>
      </c>
      <c r="AL275">
        <v>10000</v>
      </c>
      <c r="AM275">
        <v>10000</v>
      </c>
      <c r="AN275">
        <v>971.79</v>
      </c>
      <c r="AO275">
        <v>0</v>
      </c>
      <c r="AP275">
        <v>242.95</v>
      </c>
      <c r="AQ275">
        <v>121.47</v>
      </c>
      <c r="AR275">
        <v>121.47</v>
      </c>
      <c r="AS275" t="s">
        <v>86</v>
      </c>
      <c r="AT275" t="s">
        <v>86</v>
      </c>
      <c r="AU275">
        <v>0</v>
      </c>
      <c r="AV275">
        <v>0</v>
      </c>
    </row>
    <row r="276" spans="1:48" x14ac:dyDescent="0.3">
      <c r="A276">
        <v>4311</v>
      </c>
      <c r="B276" t="s">
        <v>104</v>
      </c>
      <c r="C276" t="s">
        <v>807</v>
      </c>
      <c r="D276" t="s">
        <v>808</v>
      </c>
      <c r="E276" t="s">
        <v>105</v>
      </c>
      <c r="F276" t="s">
        <v>799</v>
      </c>
      <c r="G276" t="s">
        <v>800</v>
      </c>
      <c r="H276">
        <v>0</v>
      </c>
      <c r="I276">
        <v>0</v>
      </c>
      <c r="J276" t="s">
        <v>106</v>
      </c>
      <c r="K276" t="s">
        <v>106</v>
      </c>
      <c r="N276" s="9">
        <v>46142</v>
      </c>
      <c r="O276">
        <v>10686</v>
      </c>
      <c r="P276">
        <v>3</v>
      </c>
      <c r="Q276">
        <v>2</v>
      </c>
      <c r="R276" t="s">
        <v>86</v>
      </c>
      <c r="S276" t="s">
        <v>87</v>
      </c>
      <c r="T276" t="s">
        <v>233</v>
      </c>
      <c r="U276" t="s">
        <v>857</v>
      </c>
      <c r="V276">
        <v>2025</v>
      </c>
      <c r="W276">
        <v>2026</v>
      </c>
      <c r="X276" t="s">
        <v>115</v>
      </c>
      <c r="Y276">
        <v>0</v>
      </c>
      <c r="Z276">
        <v>0</v>
      </c>
      <c r="AA276">
        <v>0</v>
      </c>
      <c r="AB276" t="s">
        <v>232</v>
      </c>
      <c r="AC276">
        <v>85</v>
      </c>
      <c r="AD276">
        <v>246902</v>
      </c>
      <c r="AE276" t="s">
        <v>128</v>
      </c>
      <c r="AF276">
        <v>3401.26</v>
      </c>
      <c r="AG276">
        <v>13437.55</v>
      </c>
      <c r="AH276">
        <v>0</v>
      </c>
      <c r="AI276">
        <v>500000</v>
      </c>
      <c r="AJ276">
        <v>0</v>
      </c>
      <c r="AK276">
        <v>500000</v>
      </c>
      <c r="AL276">
        <v>10000</v>
      </c>
      <c r="AM276">
        <v>10000</v>
      </c>
      <c r="AN276">
        <v>971.79</v>
      </c>
      <c r="AO276">
        <v>0</v>
      </c>
      <c r="AP276">
        <v>242.95</v>
      </c>
      <c r="AQ276">
        <v>121.47</v>
      </c>
      <c r="AR276">
        <v>121.47</v>
      </c>
      <c r="AS276" t="s">
        <v>86</v>
      </c>
      <c r="AT276" t="s">
        <v>86</v>
      </c>
      <c r="AU276">
        <v>0</v>
      </c>
      <c r="AV276">
        <v>0</v>
      </c>
    </row>
    <row r="277" spans="1:48" x14ac:dyDescent="0.3">
      <c r="A277">
        <v>4312</v>
      </c>
      <c r="B277" t="s">
        <v>104</v>
      </c>
      <c r="C277" t="s">
        <v>811</v>
      </c>
      <c r="D277" t="s">
        <v>812</v>
      </c>
      <c r="E277" t="s">
        <v>138</v>
      </c>
      <c r="F277" t="s">
        <v>809</v>
      </c>
      <c r="G277" t="s">
        <v>810</v>
      </c>
      <c r="H277">
        <v>0</v>
      </c>
      <c r="I277">
        <v>0</v>
      </c>
      <c r="J277" t="s">
        <v>106</v>
      </c>
      <c r="K277" t="s">
        <v>106</v>
      </c>
      <c r="N277" s="9">
        <v>46142</v>
      </c>
      <c r="O277">
        <v>10723</v>
      </c>
      <c r="P277">
        <v>1</v>
      </c>
      <c r="Q277">
        <v>1</v>
      </c>
      <c r="R277" t="s">
        <v>86</v>
      </c>
      <c r="S277" t="s">
        <v>87</v>
      </c>
      <c r="T277" t="s">
        <v>91</v>
      </c>
      <c r="U277" t="s">
        <v>114</v>
      </c>
      <c r="V277">
        <v>2024</v>
      </c>
      <c r="W277">
        <v>2024</v>
      </c>
      <c r="X277" t="s">
        <v>112</v>
      </c>
      <c r="Y277">
        <v>0</v>
      </c>
      <c r="Z277">
        <v>0</v>
      </c>
      <c r="AA277">
        <v>0</v>
      </c>
      <c r="AB277" t="s">
        <v>93</v>
      </c>
      <c r="AC277">
        <v>85</v>
      </c>
      <c r="AD277">
        <v>450414</v>
      </c>
      <c r="AE277" t="s">
        <v>113</v>
      </c>
      <c r="AF277">
        <v>3942.3</v>
      </c>
      <c r="AG277">
        <v>24782.1</v>
      </c>
      <c r="AH277">
        <v>0</v>
      </c>
      <c r="AI277">
        <v>300000</v>
      </c>
      <c r="AJ277">
        <v>0</v>
      </c>
      <c r="AK277">
        <v>300000</v>
      </c>
      <c r="AL277">
        <v>10000</v>
      </c>
      <c r="AM277">
        <v>10000</v>
      </c>
      <c r="AN277">
        <v>1126.3699999999999</v>
      </c>
      <c r="AO277">
        <v>0</v>
      </c>
      <c r="AP277">
        <v>281.58999999999997</v>
      </c>
      <c r="AQ277">
        <v>140.80000000000001</v>
      </c>
      <c r="AR277">
        <v>140.80000000000001</v>
      </c>
      <c r="AS277" t="s">
        <v>86</v>
      </c>
      <c r="AT277" t="s">
        <v>86</v>
      </c>
      <c r="AU277">
        <v>0</v>
      </c>
      <c r="AV277">
        <v>0</v>
      </c>
    </row>
    <row r="278" spans="1:48" x14ac:dyDescent="0.3">
      <c r="A278">
        <v>4313</v>
      </c>
      <c r="B278" t="s">
        <v>104</v>
      </c>
      <c r="C278" t="s">
        <v>815</v>
      </c>
      <c r="D278" t="s">
        <v>816</v>
      </c>
      <c r="E278" t="s">
        <v>138</v>
      </c>
      <c r="F278" t="s">
        <v>813</v>
      </c>
      <c r="G278" t="s">
        <v>814</v>
      </c>
      <c r="H278">
        <v>0</v>
      </c>
      <c r="I278">
        <v>0</v>
      </c>
      <c r="J278" t="s">
        <v>106</v>
      </c>
      <c r="K278" t="s">
        <v>106</v>
      </c>
      <c r="N278" s="9">
        <v>46142</v>
      </c>
      <c r="O278">
        <v>10726</v>
      </c>
      <c r="P278">
        <v>1</v>
      </c>
      <c r="Q278">
        <v>1</v>
      </c>
      <c r="R278" t="s">
        <v>86</v>
      </c>
      <c r="S278" t="s">
        <v>87</v>
      </c>
      <c r="T278" t="s">
        <v>134</v>
      </c>
      <c r="U278" t="s">
        <v>840</v>
      </c>
      <c r="V278">
        <v>2026</v>
      </c>
      <c r="W278">
        <v>2026</v>
      </c>
      <c r="X278" t="s">
        <v>107</v>
      </c>
      <c r="Y278">
        <v>0</v>
      </c>
      <c r="Z278">
        <v>0</v>
      </c>
      <c r="AA278">
        <v>0</v>
      </c>
      <c r="AB278" t="s">
        <v>135</v>
      </c>
      <c r="AC278">
        <v>85</v>
      </c>
      <c r="AD278">
        <v>133163</v>
      </c>
      <c r="AE278" t="s">
        <v>113</v>
      </c>
      <c r="AF278">
        <v>2255.9</v>
      </c>
      <c r="AG278">
        <v>7806.8</v>
      </c>
      <c r="AH278">
        <v>0</v>
      </c>
      <c r="AI278">
        <v>300000</v>
      </c>
      <c r="AJ278">
        <v>0</v>
      </c>
      <c r="AK278">
        <v>300000</v>
      </c>
      <c r="AL278">
        <v>10000</v>
      </c>
      <c r="AM278">
        <v>10000</v>
      </c>
      <c r="AN278">
        <v>645.27</v>
      </c>
      <c r="AO278">
        <v>0</v>
      </c>
      <c r="AP278">
        <v>161.32</v>
      </c>
      <c r="AQ278">
        <v>80.569999999999993</v>
      </c>
      <c r="AR278">
        <v>80.569999999999993</v>
      </c>
      <c r="AS278" t="s">
        <v>86</v>
      </c>
      <c r="AT278" t="s">
        <v>86</v>
      </c>
      <c r="AU278">
        <v>0</v>
      </c>
      <c r="AV278">
        <v>0</v>
      </c>
    </row>
    <row r="279" spans="1:48" x14ac:dyDescent="0.3">
      <c r="A279">
        <v>4316</v>
      </c>
      <c r="B279" t="s">
        <v>104</v>
      </c>
      <c r="C279" t="s">
        <v>817</v>
      </c>
      <c r="D279" t="s">
        <v>818</v>
      </c>
      <c r="E279" t="s">
        <v>105</v>
      </c>
      <c r="F279" t="s">
        <v>149</v>
      </c>
      <c r="G279" t="s">
        <v>150</v>
      </c>
      <c r="H279">
        <v>0</v>
      </c>
      <c r="I279">
        <v>0</v>
      </c>
      <c r="J279" t="s">
        <v>106</v>
      </c>
      <c r="K279" t="s">
        <v>106</v>
      </c>
      <c r="N279" s="9">
        <v>46142</v>
      </c>
      <c r="O279">
        <v>10681</v>
      </c>
      <c r="P279">
        <v>1</v>
      </c>
      <c r="Q279">
        <v>50</v>
      </c>
      <c r="R279" t="s">
        <v>86</v>
      </c>
      <c r="S279" t="s">
        <v>87</v>
      </c>
      <c r="T279" t="s">
        <v>89</v>
      </c>
      <c r="U279" t="s">
        <v>839</v>
      </c>
      <c r="V279">
        <v>2026</v>
      </c>
      <c r="W279">
        <v>2026</v>
      </c>
      <c r="X279" t="s">
        <v>107</v>
      </c>
      <c r="Y279">
        <v>0</v>
      </c>
      <c r="Z279">
        <v>0</v>
      </c>
      <c r="AA279">
        <v>0</v>
      </c>
      <c r="AB279" t="s">
        <v>88</v>
      </c>
      <c r="AC279">
        <v>85</v>
      </c>
      <c r="AD279">
        <v>84669</v>
      </c>
      <c r="AE279" t="s">
        <v>108</v>
      </c>
      <c r="AF279">
        <v>1825.9</v>
      </c>
      <c r="AG279">
        <v>5050.3500000000004</v>
      </c>
      <c r="AH279">
        <v>0</v>
      </c>
      <c r="AI279">
        <v>150000</v>
      </c>
      <c r="AJ279">
        <v>0</v>
      </c>
      <c r="AK279">
        <v>150000</v>
      </c>
      <c r="AL279">
        <v>10000</v>
      </c>
      <c r="AM279">
        <v>10000</v>
      </c>
      <c r="AN279">
        <v>521.69000000000005</v>
      </c>
      <c r="AO279">
        <v>0</v>
      </c>
      <c r="AP279">
        <v>130.41999999999999</v>
      </c>
      <c r="AQ279">
        <v>65.209999999999994</v>
      </c>
      <c r="AR279">
        <v>65.209999999999994</v>
      </c>
      <c r="AS279" t="s">
        <v>86</v>
      </c>
      <c r="AT279" t="s">
        <v>86</v>
      </c>
      <c r="AU279">
        <v>0</v>
      </c>
      <c r="AV279">
        <v>0</v>
      </c>
    </row>
    <row r="280" spans="1:48" x14ac:dyDescent="0.3">
      <c r="A280">
        <v>4317</v>
      </c>
      <c r="B280" t="s">
        <v>104</v>
      </c>
      <c r="C280" t="s">
        <v>819</v>
      </c>
      <c r="D280" t="s">
        <v>820</v>
      </c>
      <c r="E280" t="s">
        <v>105</v>
      </c>
      <c r="F280" t="s">
        <v>149</v>
      </c>
      <c r="G280" t="s">
        <v>150</v>
      </c>
      <c r="H280">
        <v>0</v>
      </c>
      <c r="I280">
        <v>0</v>
      </c>
      <c r="J280" t="s">
        <v>106</v>
      </c>
      <c r="K280" t="s">
        <v>106</v>
      </c>
      <c r="N280" s="9">
        <v>46142</v>
      </c>
      <c r="O280">
        <v>10681</v>
      </c>
      <c r="P280">
        <v>1</v>
      </c>
      <c r="Q280">
        <v>51</v>
      </c>
      <c r="R280" t="s">
        <v>86</v>
      </c>
      <c r="S280" t="s">
        <v>87</v>
      </c>
      <c r="T280" t="s">
        <v>89</v>
      </c>
      <c r="U280" t="s">
        <v>839</v>
      </c>
      <c r="V280">
        <v>2026</v>
      </c>
      <c r="W280">
        <v>2026</v>
      </c>
      <c r="X280" t="s">
        <v>107</v>
      </c>
      <c r="Y280">
        <v>0</v>
      </c>
      <c r="Z280">
        <v>0</v>
      </c>
      <c r="AA280">
        <v>0</v>
      </c>
      <c r="AB280" t="s">
        <v>88</v>
      </c>
      <c r="AC280">
        <v>85</v>
      </c>
      <c r="AD280">
        <v>84669</v>
      </c>
      <c r="AE280" t="s">
        <v>108</v>
      </c>
      <c r="AF280">
        <v>1825.9</v>
      </c>
      <c r="AG280">
        <v>5050.3500000000004</v>
      </c>
      <c r="AH280">
        <v>0</v>
      </c>
      <c r="AI280">
        <v>150000</v>
      </c>
      <c r="AJ280">
        <v>0</v>
      </c>
      <c r="AK280">
        <v>150000</v>
      </c>
      <c r="AL280">
        <v>10000</v>
      </c>
      <c r="AM280">
        <v>10000</v>
      </c>
      <c r="AN280">
        <v>521.69000000000005</v>
      </c>
      <c r="AO280">
        <v>0</v>
      </c>
      <c r="AP280">
        <v>130.41999999999999</v>
      </c>
      <c r="AQ280">
        <v>65.209999999999994</v>
      </c>
      <c r="AR280">
        <v>65.209999999999994</v>
      </c>
      <c r="AS280" t="s">
        <v>86</v>
      </c>
      <c r="AT280" t="s">
        <v>86</v>
      </c>
      <c r="AU280">
        <v>0</v>
      </c>
      <c r="AV280">
        <v>0</v>
      </c>
    </row>
    <row r="281" spans="1:48" x14ac:dyDescent="0.3">
      <c r="A281">
        <v>4318</v>
      </c>
      <c r="B281" t="s">
        <v>104</v>
      </c>
      <c r="C281" t="s">
        <v>823</v>
      </c>
      <c r="D281" t="s">
        <v>824</v>
      </c>
      <c r="E281" t="s">
        <v>105</v>
      </c>
      <c r="F281" t="s">
        <v>821</v>
      </c>
      <c r="G281" t="s">
        <v>822</v>
      </c>
      <c r="H281">
        <v>0</v>
      </c>
      <c r="I281">
        <v>0</v>
      </c>
      <c r="J281" t="s">
        <v>106</v>
      </c>
      <c r="K281" t="s">
        <v>106</v>
      </c>
      <c r="N281" s="9">
        <v>46142</v>
      </c>
      <c r="O281">
        <v>10776</v>
      </c>
      <c r="P281">
        <v>1</v>
      </c>
      <c r="Q281">
        <v>1</v>
      </c>
      <c r="R281" t="s">
        <v>86</v>
      </c>
      <c r="S281" t="s">
        <v>87</v>
      </c>
      <c r="T281" t="s">
        <v>91</v>
      </c>
      <c r="U281" t="s">
        <v>111</v>
      </c>
      <c r="V281">
        <v>2024</v>
      </c>
      <c r="W281">
        <v>2024</v>
      </c>
      <c r="X281" t="s">
        <v>112</v>
      </c>
      <c r="Y281">
        <v>0</v>
      </c>
      <c r="Z281">
        <v>0</v>
      </c>
      <c r="AA281">
        <v>0</v>
      </c>
      <c r="AB281" t="s">
        <v>93</v>
      </c>
      <c r="AC281">
        <v>85</v>
      </c>
      <c r="AD281">
        <v>450414</v>
      </c>
      <c r="AE281" t="s">
        <v>113</v>
      </c>
      <c r="AF281">
        <v>3942.3</v>
      </c>
      <c r="AG281">
        <v>24907.9</v>
      </c>
      <c r="AH281">
        <v>0</v>
      </c>
      <c r="AI281">
        <v>300000</v>
      </c>
      <c r="AJ281">
        <v>0</v>
      </c>
      <c r="AK281">
        <v>300000</v>
      </c>
      <c r="AL281">
        <v>10000</v>
      </c>
      <c r="AM281">
        <v>10000</v>
      </c>
      <c r="AN281">
        <v>1132.0899999999999</v>
      </c>
      <c r="AO281">
        <v>0</v>
      </c>
      <c r="AP281">
        <v>283.02</v>
      </c>
      <c r="AQ281">
        <v>141.51</v>
      </c>
      <c r="AR281">
        <v>141.51</v>
      </c>
      <c r="AS281" t="s">
        <v>86</v>
      </c>
      <c r="AT281" t="s">
        <v>86</v>
      </c>
      <c r="AU281">
        <v>0</v>
      </c>
      <c r="AV281">
        <v>0</v>
      </c>
    </row>
    <row r="282" spans="1:48" x14ac:dyDescent="0.3">
      <c r="A282">
        <v>4319</v>
      </c>
      <c r="B282" t="s">
        <v>104</v>
      </c>
      <c r="C282" t="s">
        <v>827</v>
      </c>
      <c r="D282" t="s">
        <v>828</v>
      </c>
      <c r="E282" t="s">
        <v>105</v>
      </c>
      <c r="F282" t="s">
        <v>825</v>
      </c>
      <c r="G282" t="s">
        <v>826</v>
      </c>
      <c r="H282">
        <v>0</v>
      </c>
      <c r="I282">
        <v>0</v>
      </c>
      <c r="J282" t="s">
        <v>106</v>
      </c>
      <c r="K282" t="s">
        <v>106</v>
      </c>
      <c r="N282" s="9">
        <v>46142</v>
      </c>
      <c r="O282">
        <v>10673</v>
      </c>
      <c r="P282">
        <v>1</v>
      </c>
      <c r="Q282">
        <v>1</v>
      </c>
      <c r="R282" t="s">
        <v>86</v>
      </c>
      <c r="S282" t="s">
        <v>87</v>
      </c>
      <c r="T282" t="s">
        <v>123</v>
      </c>
      <c r="U282" t="s">
        <v>835</v>
      </c>
      <c r="V282">
        <v>2025</v>
      </c>
      <c r="W282">
        <v>2025</v>
      </c>
      <c r="X282" t="s">
        <v>112</v>
      </c>
      <c r="Y282">
        <v>0</v>
      </c>
      <c r="Z282">
        <v>0</v>
      </c>
      <c r="AA282">
        <v>0</v>
      </c>
      <c r="AB282" t="s">
        <v>125</v>
      </c>
      <c r="AC282">
        <v>85</v>
      </c>
      <c r="AD282">
        <v>431520</v>
      </c>
      <c r="AE282" t="s">
        <v>113</v>
      </c>
      <c r="AF282">
        <v>2783.8</v>
      </c>
      <c r="AG282">
        <v>17499.5</v>
      </c>
      <c r="AH282">
        <v>0</v>
      </c>
      <c r="AI282">
        <v>300000</v>
      </c>
      <c r="AJ282">
        <v>0</v>
      </c>
      <c r="AK282">
        <v>300000</v>
      </c>
      <c r="AL282">
        <v>10000</v>
      </c>
      <c r="AM282">
        <v>10000</v>
      </c>
      <c r="AN282">
        <v>795.37</v>
      </c>
      <c r="AO282">
        <v>0</v>
      </c>
      <c r="AP282">
        <v>198.84</v>
      </c>
      <c r="AQ282">
        <v>99.42</v>
      </c>
      <c r="AR282">
        <v>99.42</v>
      </c>
      <c r="AS282" t="s">
        <v>86</v>
      </c>
      <c r="AT282" t="s">
        <v>86</v>
      </c>
      <c r="AU282">
        <v>0</v>
      </c>
      <c r="AV282">
        <v>0</v>
      </c>
    </row>
  </sheetData>
  <autoFilter ref="A5:AZ229" xr:uid="{1579E148-6845-4DC9-945C-91C2FB3BFCA8}"/>
  <conditionalFormatting sqref="C5:C87">
    <cfRule type="duplicateValues" dxfId="0" priority="8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Inclusão</vt:lpstr>
      <vt:lpstr>Exclusão</vt:lpstr>
      <vt:lpstr>Apólice Endosso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Fernandes, Tais</dc:creator>
  <cp:lastModifiedBy>Martins, Guilherme</cp:lastModifiedBy>
  <dcterms:created xsi:type="dcterms:W3CDTF">2023-09-01T18:03:43Z</dcterms:created>
  <dcterms:modified xsi:type="dcterms:W3CDTF">2026-05-06T19:42:18Z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da19b6-bfd0-4436-a443-6172f0377703_Enabled">
    <vt:lpwstr>true</vt:lpwstr>
  </property>
  <property fmtid="{D5CDD505-2E9C-101B-9397-08002B2CF9AE}" pid="3" name="MSIP_Label_dcda19b6-bfd0-4436-a443-6172f0377703_SetDate">
    <vt:lpwstr>2025-03-21T12:41:24Z</vt:lpwstr>
  </property>
  <property fmtid="{D5CDD505-2E9C-101B-9397-08002B2CF9AE}" pid="4" name="MSIP_Label_dcda19b6-bfd0-4436-a443-6172f0377703_Method">
    <vt:lpwstr>Standard</vt:lpwstr>
  </property>
  <property fmtid="{D5CDD505-2E9C-101B-9397-08002B2CF9AE}" pid="5" name="MSIP_Label_dcda19b6-bfd0-4436-a443-6172f0377703_Name">
    <vt:lpwstr>Brazil PI</vt:lpwstr>
  </property>
  <property fmtid="{D5CDD505-2E9C-101B-9397-08002B2CF9AE}" pid="6" name="MSIP_Label_dcda19b6-bfd0-4436-a443-6172f0377703_SiteId">
    <vt:lpwstr>e45cbcc1-1760-419a-a16b-35802285b3b3</vt:lpwstr>
  </property>
  <property fmtid="{D5CDD505-2E9C-101B-9397-08002B2CF9AE}" pid="7" name="MSIP_Label_dcda19b6-bfd0-4436-a443-6172f0377703_ActionId">
    <vt:lpwstr>4c1deb78-ae3e-4f72-9dcf-4b48cdd1514f</vt:lpwstr>
  </property>
  <property fmtid="{D5CDD505-2E9C-101B-9397-08002B2CF9AE}" pid="8" name="MSIP_Label_dcda19b6-bfd0-4436-a443-6172f0377703_ContentBits">
    <vt:lpwstr>0</vt:lpwstr>
  </property>
  <property fmtid="{D5CDD505-2E9C-101B-9397-08002B2CF9AE}" pid="9" name="MSIP_Label_dcda19b6-bfd0-4436-a443-6172f0377703_Tag">
    <vt:lpwstr>10, 1, 2, 1</vt:lpwstr>
  </property>
</Properties>
</file>