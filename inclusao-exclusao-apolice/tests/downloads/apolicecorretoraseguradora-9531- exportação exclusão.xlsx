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GMFSM\14. Fleet Management\Administração de Contratos\Seguro\Tokio Marine_Apólice  05.3137765770_2026_Renovação\Inclusão\2026\Abril_2026\"/>
    </mc:Choice>
  </mc:AlternateContent>
  <xr:revisionPtr revIDLastSave="0" documentId="13_ncr:1_{465AA7D8-4A30-4952-AE4B-CD350F9D00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veículos não constam no apólice" sheetId="2" state="hidden" r:id="rId2"/>
  </sheets>
  <externalReferences>
    <externalReference r:id="rId3"/>
  </externalReferences>
  <definedNames>
    <definedName name="_xlnm._FilterDatabase" localSheetId="0" hidden="1">Sheet1!$A$2:$AS$32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" i="2"/>
</calcChain>
</file>

<file path=xl/sharedStrings.xml><?xml version="1.0" encoding="utf-8"?>
<sst xmlns="http://schemas.openxmlformats.org/spreadsheetml/2006/main" count="557" uniqueCount="191">
  <si>
    <t>Dados da Apólice e Item da Apólice - EXPORTAÇÃO</t>
  </si>
  <si>
    <t>Endosso</t>
  </si>
  <si>
    <t>Data Endosso</t>
  </si>
  <si>
    <t>Item da Apólice</t>
  </si>
  <si>
    <t>N° Apólice Seguradora</t>
  </si>
  <si>
    <t>Seguradora</t>
  </si>
  <si>
    <t>Corretora</t>
  </si>
  <si>
    <t>Início da Vigência</t>
  </si>
  <si>
    <t>Final da Vigência</t>
  </si>
  <si>
    <t>Data Apólice</t>
  </si>
  <si>
    <t>Cnpj Cliente</t>
  </si>
  <si>
    <t>Cliente</t>
  </si>
  <si>
    <t>Placa</t>
  </si>
  <si>
    <t>Placa Substituição</t>
  </si>
  <si>
    <t>Chassi</t>
  </si>
  <si>
    <t>Montadora</t>
  </si>
  <si>
    <t>Fabricante</t>
  </si>
  <si>
    <t>Modelo</t>
  </si>
  <si>
    <t>Ano Fabricação</t>
  </si>
  <si>
    <t>Ano Modelo</t>
  </si>
  <si>
    <t>Fipe</t>
  </si>
  <si>
    <t>Percentual Fipe</t>
  </si>
  <si>
    <t>Valor Fipe Veículo</t>
  </si>
  <si>
    <t>Valor Casco</t>
  </si>
  <si>
    <t>Valor Franquia</t>
  </si>
  <si>
    <t>Valor Desconto Franquia</t>
  </si>
  <si>
    <t>Valor RCF</t>
  </si>
  <si>
    <t>Valor Danos Materiais</t>
  </si>
  <si>
    <t>Valor Danos Morais</t>
  </si>
  <si>
    <t>Valor Danos Corporais</t>
  </si>
  <si>
    <t>Valor App Morte</t>
  </si>
  <si>
    <t>Valor App Invalidez</t>
  </si>
  <si>
    <t>Premio Casco</t>
  </si>
  <si>
    <t>Premio RCF</t>
  </si>
  <si>
    <t>Prêmio Danos Materiais</t>
  </si>
  <si>
    <t>Prêmio Danos Morais</t>
  </si>
  <si>
    <t>Prêmio Danos Corporais</t>
  </si>
  <si>
    <t>Prêmio App Morte</t>
  </si>
  <si>
    <t>Prêmio App Invalidez</t>
  </si>
  <si>
    <t>Início Vigência (Item)</t>
  </si>
  <si>
    <t>Final Vigência (Item)</t>
  </si>
  <si>
    <t>Custo Emissão</t>
  </si>
  <si>
    <t>Tipo Cobertura</t>
  </si>
  <si>
    <t>Região do Seguro</t>
  </si>
  <si>
    <t>EXCLUSAO</t>
  </si>
  <si>
    <t/>
  </si>
  <si>
    <t>8AGEP76T0SR122829</t>
  </si>
  <si>
    <t>GM - Chevrolet</t>
  </si>
  <si>
    <t>3P76TSR8G</t>
  </si>
  <si>
    <t>TRACKER PREMIER 1.2 TURBO 12V FLEX AUT. MY25</t>
  </si>
  <si>
    <t>004525-0</t>
  </si>
  <si>
    <t>9BGEB48A0SG238099</t>
  </si>
  <si>
    <t>5B48ASRGH</t>
  </si>
  <si>
    <t xml:space="preserve">ONIX HATCH LT 1.0 12V FLEX 5P MEC. MY25
</t>
  </si>
  <si>
    <t>004517-9</t>
  </si>
  <si>
    <t>9BGEB48A0SG238078</t>
  </si>
  <si>
    <t>9BGEN69H0SG241925</t>
  </si>
  <si>
    <t>5N69HSPRB</t>
  </si>
  <si>
    <t>ONIX SEDAN PLUS LTZ 1.0 12V TB FLEX AUT. MY25</t>
  </si>
  <si>
    <t>004502-0</t>
  </si>
  <si>
    <t>9BGEA43B0SB210422</t>
  </si>
  <si>
    <t>5A43BSR8A</t>
  </si>
  <si>
    <t xml:space="preserve">MONTANA 1.2 TURBO FLEX 12V 4P MEC. MY25
</t>
  </si>
  <si>
    <t>004539-0</t>
  </si>
  <si>
    <t>9BGEY69H0SG267969</t>
  </si>
  <si>
    <t>5Y69HSR8R</t>
  </si>
  <si>
    <t xml:space="preserve">ONIX SED. PLUS PREM. 1.0 12V TB FLEX AUT MY25
</t>
  </si>
  <si>
    <t>004504-7</t>
  </si>
  <si>
    <t>9BGEB69A0SG238417</t>
  </si>
  <si>
    <t>5B69ASPCJ</t>
  </si>
  <si>
    <t xml:space="preserve">ONIX SEDAN PLUS LT 1.0 12V FLEX 4P MEC. MY25
</t>
  </si>
  <si>
    <t>004518-7</t>
  </si>
  <si>
    <t>9BGEB48A0SG238067</t>
  </si>
  <si>
    <t>9BGEY69H0SG266761</t>
  </si>
  <si>
    <t>9BGEB69A0SG246778</t>
  </si>
  <si>
    <t>9BGEB48A0SG238097</t>
  </si>
  <si>
    <t>05.239.984/0001-81</t>
  </si>
  <si>
    <t>CHEDALGUS</t>
  </si>
  <si>
    <t>5A48ATR7J</t>
  </si>
  <si>
    <t>ONIX HATCH LS 1.0 12V FLEX 5P MEC. MY26</t>
  </si>
  <si>
    <t>Documento Cliente</t>
  </si>
  <si>
    <t>PATRICIA PALONI FIORANI LTDA</t>
  </si>
  <si>
    <t>25.155.563/0001-80</t>
  </si>
  <si>
    <t>SUY7F90</t>
  </si>
  <si>
    <t>ONIX HB LT 5DR 1.0</t>
  </si>
  <si>
    <t>DIAS &amp; LOPES EMBALAGENS LTDA</t>
  </si>
  <si>
    <t>10.297.670/0001-75</t>
  </si>
  <si>
    <t>SWX7F41</t>
  </si>
  <si>
    <t>TRACKER LTZ 5DR 1,0T</t>
  </si>
  <si>
    <t>RIONORTE (SANTAREM)</t>
  </si>
  <si>
    <t>06.307.350/0001-81</t>
  </si>
  <si>
    <t>TJM1D72</t>
  </si>
  <si>
    <t>H2SERVICE S A</t>
  </si>
  <si>
    <t>52.882.920/0001-84</t>
  </si>
  <si>
    <t>TIP1E55</t>
  </si>
  <si>
    <t>NOVA MONTANA LS P-UP 1,2T MT1</t>
  </si>
  <si>
    <t>Data Devolução</t>
  </si>
  <si>
    <t>Status Veículo Contrato</t>
  </si>
  <si>
    <t>02/04/2026</t>
  </si>
  <si>
    <t>Devolvido</t>
  </si>
  <si>
    <t>08/04/2026</t>
  </si>
  <si>
    <t>06/04/2026</t>
  </si>
  <si>
    <t>TECNO TOOLS FERRAMENTAS E ABRASIVOS LTDA</t>
  </si>
  <si>
    <t>55.297.253/0001-60</t>
  </si>
  <si>
    <t>TIZ4J61</t>
  </si>
  <si>
    <t>09/04/2026</t>
  </si>
  <si>
    <t>DELFINO LIGORIO CONSULTORES ASSOCIADOS LTDS</t>
  </si>
  <si>
    <t>10.456.187/0001-96</t>
  </si>
  <si>
    <t>TJU7D69</t>
  </si>
  <si>
    <t>TRACKER PREMIER 5DR 1,2T</t>
  </si>
  <si>
    <t>TLJ7B39</t>
  </si>
  <si>
    <t>ONIX PLUS LT 4DR 1.0</t>
  </si>
  <si>
    <t>07/04/2026</t>
  </si>
  <si>
    <t>01/04/2026</t>
  </si>
  <si>
    <t>JDC ENGENHARIA</t>
  </si>
  <si>
    <t>24.960.747/0001-50</t>
  </si>
  <si>
    <t>SUT2A13</t>
  </si>
  <si>
    <t>TRACKER PREMIER 5DR 1,2T - ROS</t>
  </si>
  <si>
    <t>10/04/2026</t>
  </si>
  <si>
    <t>DEFCON1</t>
  </si>
  <si>
    <t>29.729.272/0001-09</t>
  </si>
  <si>
    <t>GIE8B13</t>
  </si>
  <si>
    <t>FJR5I82</t>
  </si>
  <si>
    <t>LEAP</t>
  </si>
  <si>
    <t>25.042.373/0001-56</t>
  </si>
  <si>
    <t>SWF6J83</t>
  </si>
  <si>
    <t>LIFT DERMA SERVICOS E COMERCIO PERSONALIZADO LTDA</t>
  </si>
  <si>
    <t>25.160.798/0001-60</t>
  </si>
  <si>
    <t>GCJ1D52</t>
  </si>
  <si>
    <t>HARIBO</t>
  </si>
  <si>
    <t>21.072.669/0001-69</t>
  </si>
  <si>
    <t>UEM1C94</t>
  </si>
  <si>
    <t>ONIX HB 1.0 MT 5 LUGARES</t>
  </si>
  <si>
    <t>UFR6F42</t>
  </si>
  <si>
    <t>UFT7H48</t>
  </si>
  <si>
    <t>UDX0F32</t>
  </si>
  <si>
    <t>QSP6H65</t>
  </si>
  <si>
    <t>UDS0A16</t>
  </si>
  <si>
    <t>SVW4C75</t>
  </si>
  <si>
    <t>ONIX HB LOG 5DR 1.0</t>
  </si>
  <si>
    <t>14/04/2026</t>
  </si>
  <si>
    <t>13/04/2026</t>
  </si>
  <si>
    <t>SVO2H54</t>
  </si>
  <si>
    <t>TKD4E61</t>
  </si>
  <si>
    <t>TKH4J07</t>
  </si>
  <si>
    <t>TKG4B57</t>
  </si>
  <si>
    <t>TIQ8B27</t>
  </si>
  <si>
    <t>FWU8G03</t>
  </si>
  <si>
    <t>TJB7F23</t>
  </si>
  <si>
    <t>TKO5C33</t>
  </si>
  <si>
    <t>TIU0E95</t>
  </si>
  <si>
    <t>SWH9I63</t>
  </si>
  <si>
    <t>TLF4E17</t>
  </si>
  <si>
    <t>status</t>
  </si>
  <si>
    <t>CHASSI</t>
  </si>
  <si>
    <t>9BGEB48A0RG267370</t>
  </si>
  <si>
    <t>9BGEN76H0RB222916</t>
  </si>
  <si>
    <t>9BGEB48A0SG220429</t>
  </si>
  <si>
    <t>9BGEA43B0SB210435</t>
  </si>
  <si>
    <t>9BGEB48A0SG238094</t>
  </si>
  <si>
    <t>9BGEP76T0SB229883</t>
  </si>
  <si>
    <t>9BGEB69A0SG247005</t>
  </si>
  <si>
    <t>8AGEP76T0SR122858</t>
  </si>
  <si>
    <t>9BGEB69A0SG247022</t>
  </si>
  <si>
    <t>9BGEB69A0SG255489</t>
  </si>
  <si>
    <t>8AGEP76T0SR122994</t>
  </si>
  <si>
    <t>8AGEP76T0SR126031</t>
  </si>
  <si>
    <t>9BGEA48A0TG119795</t>
  </si>
  <si>
    <t>9BGEA48A0TG119896</t>
  </si>
  <si>
    <t>9BGEA48A0TG120211</t>
  </si>
  <si>
    <t>9BGEA48A0TG120235</t>
  </si>
  <si>
    <t>9BGEA48A0TG120910</t>
  </si>
  <si>
    <t>9BGEA48A0TG120921</t>
  </si>
  <si>
    <t>9BGEA48A0SG221332</t>
  </si>
  <si>
    <t>5N76HRRFF</t>
  </si>
  <si>
    <t>TRACKER LTZ 1.0 TURBO 12V FLEX AUT. MY24</t>
  </si>
  <si>
    <t>004532-2</t>
  </si>
  <si>
    <t>5P76TSR8G</t>
  </si>
  <si>
    <t>3A48ASA5F</t>
  </si>
  <si>
    <t>ONIX LOG 1.0 12V FLEX MEC. MY25</t>
  </si>
  <si>
    <t>004519-5</t>
  </si>
  <si>
    <t>5A43TSRFA</t>
  </si>
  <si>
    <t>MONTANA 1.2 TURBO FLEX 12V 4P MEC. MY25</t>
  </si>
  <si>
    <t>5B48ARRGH</t>
  </si>
  <si>
    <t>ONIX HATCH LT 1.0 12V FLEX 5P MEC. MY24</t>
  </si>
  <si>
    <t>data da venda</t>
  </si>
  <si>
    <t>23/04/2026</t>
  </si>
  <si>
    <t>06/05/2026</t>
  </si>
  <si>
    <t>05/05/2026</t>
  </si>
  <si>
    <t xml:space="preserve">status </t>
  </si>
  <si>
    <t>solicitado exclusão em 12-05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</si>
</sst>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name val="Calibri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jlqsizu\Downloads\apolicecorretoraseguradora-8913.xlsx" TargetMode="External"/><Relationship Id="rId1" Type="http://schemas.openxmlformats.org/officeDocument/2006/relationships/externalLinkPath" Target="file:///C:\Users\gjlqsizu\Downloads\apolicecorretoraseguradora-89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N2" t="str">
            <v>Chassi</v>
          </cell>
        </row>
        <row r="3">
          <cell r="N3" t="str">
            <v>9BGEY48H0SG268318</v>
          </cell>
        </row>
        <row r="4">
          <cell r="N4" t="str">
            <v>9BGEB48A0SG268470</v>
          </cell>
        </row>
        <row r="5">
          <cell r="N5" t="str">
            <v>8AGEB76D0TR101089</v>
          </cell>
        </row>
        <row r="6">
          <cell r="N6" t="str">
            <v>3GNAX9EJ8PL251259</v>
          </cell>
        </row>
        <row r="7">
          <cell r="N7" t="str">
            <v>8AGEP76T0SR125365</v>
          </cell>
        </row>
        <row r="8">
          <cell r="N8" t="str">
            <v>9BGEB48A0SG243420</v>
          </cell>
        </row>
        <row r="9">
          <cell r="N9" t="str">
            <v>3GN7D8RR5SS174751</v>
          </cell>
        </row>
        <row r="10">
          <cell r="N10" t="str">
            <v>9BG156YK0PC430239</v>
          </cell>
        </row>
        <row r="11">
          <cell r="N11" t="str">
            <v>9BGEA48A0SG250479</v>
          </cell>
        </row>
        <row r="12">
          <cell r="N12" t="str">
            <v>9BGEA48A0SG250876</v>
          </cell>
        </row>
        <row r="13">
          <cell r="N13" t="str">
            <v>9BGEA48A0SG245972</v>
          </cell>
        </row>
        <row r="14">
          <cell r="N14" t="str">
            <v>9BGEA48A0SG250868</v>
          </cell>
        </row>
        <row r="15">
          <cell r="N15" t="str">
            <v>9BGEY69H0SG255193</v>
          </cell>
        </row>
        <row r="16">
          <cell r="N16" t="str">
            <v>9BGEN69H0SG246562</v>
          </cell>
        </row>
        <row r="17">
          <cell r="N17" t="str">
            <v>9BGJP7520SB238307</v>
          </cell>
        </row>
        <row r="18">
          <cell r="N18" t="str">
            <v>9BGEB48A0SG242024</v>
          </cell>
        </row>
        <row r="19">
          <cell r="N19" t="str">
            <v>9BGEA48A0SG250882</v>
          </cell>
        </row>
        <row r="20">
          <cell r="N20" t="str">
            <v>9BGEA48A0SG250884</v>
          </cell>
        </row>
        <row r="21">
          <cell r="N21" t="str">
            <v>9BGEA48A0SG250888</v>
          </cell>
        </row>
        <row r="22">
          <cell r="N22" t="str">
            <v>9BGEB48A0SG251829</v>
          </cell>
        </row>
        <row r="23">
          <cell r="N23" t="str">
            <v>9BGEB43T0SB238688</v>
          </cell>
        </row>
        <row r="24">
          <cell r="N24" t="str">
            <v>8AGEP76T0SR125365</v>
          </cell>
        </row>
        <row r="25">
          <cell r="N25" t="str">
            <v>9BGEA48A0SG227066</v>
          </cell>
        </row>
        <row r="26">
          <cell r="N26" t="str">
            <v>9BG148DK0RC430982</v>
          </cell>
        </row>
        <row r="27">
          <cell r="N27" t="str">
            <v>3GN7D8RR1RS277465</v>
          </cell>
        </row>
        <row r="28">
          <cell r="N28" t="str">
            <v>3GN7D8RR5SS132886</v>
          </cell>
        </row>
        <row r="29">
          <cell r="N29" t="str">
            <v>3GN7D8RR4RS242340</v>
          </cell>
        </row>
        <row r="30">
          <cell r="N30" t="str">
            <v>9BGEA43B0SB210428</v>
          </cell>
        </row>
        <row r="31">
          <cell r="N31" t="str">
            <v>9BGEY48H0TG117148</v>
          </cell>
        </row>
        <row r="32">
          <cell r="N32" t="str">
            <v>8AGEP76T0SR122899</v>
          </cell>
        </row>
        <row r="33">
          <cell r="N33" t="str">
            <v>9BGEA48A0SG279653</v>
          </cell>
        </row>
        <row r="34">
          <cell r="N34" t="str">
            <v>9BGEY48H0SG246863</v>
          </cell>
        </row>
        <row r="35">
          <cell r="N35" t="str">
            <v>9BGEY48H0SG268281</v>
          </cell>
        </row>
        <row r="36">
          <cell r="N36" t="str">
            <v>3GN7D8RR1RS277465</v>
          </cell>
        </row>
        <row r="37">
          <cell r="N37" t="str">
            <v>3GN7D8RR8RS277477</v>
          </cell>
        </row>
        <row r="38">
          <cell r="N38" t="str">
            <v>8AGEP76T0SR124404</v>
          </cell>
        </row>
        <row r="39">
          <cell r="N39" t="str">
            <v>9BGEA48H0TG205711</v>
          </cell>
        </row>
        <row r="40">
          <cell r="N40" t="str">
            <v>9BGEA48H0TG205724</v>
          </cell>
        </row>
        <row r="41">
          <cell r="N41" t="str">
            <v>9BGEA43B0SB210410</v>
          </cell>
        </row>
        <row r="42">
          <cell r="N42" t="str">
            <v>8AGEP76T0SR123049</v>
          </cell>
        </row>
        <row r="43">
          <cell r="N43" t="str">
            <v>9BGEP76T0SB241648</v>
          </cell>
        </row>
        <row r="44">
          <cell r="N44" t="str">
            <v>9BGEB48A0SG262514</v>
          </cell>
        </row>
        <row r="45">
          <cell r="N45" t="str">
            <v>9BGEY48H0SG244061</v>
          </cell>
        </row>
        <row r="46">
          <cell r="N46" t="str">
            <v>8AGEP76T0SR122929</v>
          </cell>
        </row>
        <row r="47">
          <cell r="N47" t="str">
            <v>9BGEY48H0SG244056</v>
          </cell>
        </row>
        <row r="48">
          <cell r="N48" t="str">
            <v>9BGEN69H0RG261224</v>
          </cell>
        </row>
        <row r="49">
          <cell r="N49" t="str">
            <v>9BGEB69A0SG247005</v>
          </cell>
        </row>
        <row r="50">
          <cell r="N50" t="str">
            <v>9BGEN76H0RB222916</v>
          </cell>
        </row>
        <row r="51">
          <cell r="N51" t="str">
            <v>9BGEP76T0SB229883</v>
          </cell>
        </row>
        <row r="52">
          <cell r="N52" t="str">
            <v>9BGEA48A0TG120235</v>
          </cell>
        </row>
        <row r="53">
          <cell r="N53" t="str">
            <v>9BGEA48A0TG119896</v>
          </cell>
        </row>
        <row r="54">
          <cell r="N54" t="str">
            <v>9BGEA48A0SG221332</v>
          </cell>
        </row>
        <row r="55">
          <cell r="N55" t="str">
            <v>9BGEA43B0SB210435</v>
          </cell>
        </row>
        <row r="56">
          <cell r="N56" t="str">
            <v>8AGEP76T0SR126031</v>
          </cell>
        </row>
        <row r="57">
          <cell r="N57" t="str">
            <v>9BGEB69A0SG247022</v>
          </cell>
        </row>
        <row r="58">
          <cell r="N58" t="str">
            <v>9BGEB69H0SG262517</v>
          </cell>
        </row>
        <row r="59">
          <cell r="N59" t="str">
            <v>9BGEB48A0SG220429</v>
          </cell>
        </row>
        <row r="60">
          <cell r="N60" t="str">
            <v>9BGEB48A0SG238094</v>
          </cell>
        </row>
        <row r="61">
          <cell r="N61" t="str">
            <v>9BGEA48A0TG119795</v>
          </cell>
        </row>
        <row r="62">
          <cell r="N62" t="str">
            <v>9BGEB48A0SG174099</v>
          </cell>
        </row>
        <row r="63">
          <cell r="N63" t="str">
            <v>8AGEP76T0SR122994</v>
          </cell>
        </row>
        <row r="64">
          <cell r="N64" t="str">
            <v>9BGEY48H0SG243999</v>
          </cell>
        </row>
        <row r="65">
          <cell r="N65" t="str">
            <v>9BGEA48A0TG120211</v>
          </cell>
        </row>
        <row r="66">
          <cell r="N66" t="str">
            <v>9BGEB69A0SG255489</v>
          </cell>
        </row>
        <row r="67">
          <cell r="N67" t="str">
            <v>8AGEP76T0SR122858</v>
          </cell>
        </row>
        <row r="68">
          <cell r="N68" t="str">
            <v>9BGEA48A0TG120921</v>
          </cell>
        </row>
        <row r="69">
          <cell r="N69" t="str">
            <v>9BGEA48A0TG120910</v>
          </cell>
        </row>
        <row r="70">
          <cell r="N70" t="str">
            <v>9BGEB48A0RG267370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32"/>
  <sheetViews>
    <sheetView tabSelected="1" topLeftCell="E2" workbookViewId="0">
      <selection activeCell="L3" sqref="L3"/>
    </sheetView>
  </sheetViews>
  <sheetFormatPr defaultColWidth="17" defaultRowHeight="14.5" x14ac:dyDescent="0.35"/>
  <cols>
    <col min="2" max="11" width="17" customWidth="1"/>
    <col min="13" max="13" width="17" customWidth="1"/>
    <col min="15" max="43" width="17" customWidth="1"/>
  </cols>
  <sheetData>
    <row r="1" spans="1:46" ht="15.5" x14ac:dyDescent="0.35">
      <c r="A1" s="2" t="s">
        <v>0</v>
      </c>
    </row>
    <row r="2" spans="1:4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153</v>
      </c>
      <c r="AS2" s="1" t="s">
        <v>185</v>
      </c>
      <c r="AT2" s="1" t="s">
        <v>189</v>
      </c>
    </row>
    <row r="3" spans="1:46" x14ac:dyDescent="0.35">
      <c r="A3" t="s">
        <v>44</v>
      </c>
      <c r="B3" s="3">
        <v>46127</v>
      </c>
      <c r="C3">
        <v>0</v>
      </c>
      <c r="D3" t="s">
        <v>45</v>
      </c>
      <c r="E3">
        <v>2103</v>
      </c>
      <c r="F3">
        <v>2103</v>
      </c>
      <c r="J3" t="s">
        <v>45</v>
      </c>
      <c r="K3" t="s">
        <v>45</v>
      </c>
      <c r="L3" t="s">
        <v>122</v>
      </c>
      <c r="M3" t="s">
        <v>45</v>
      </c>
      <c r="N3" t="s">
        <v>164</v>
      </c>
      <c r="O3" t="s">
        <v>47</v>
      </c>
      <c r="P3" t="s">
        <v>69</v>
      </c>
      <c r="Q3" t="s">
        <v>70</v>
      </c>
      <c r="R3">
        <v>2025</v>
      </c>
      <c r="S3">
        <v>2025</v>
      </c>
      <c r="T3" t="s">
        <v>71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N3" s="3">
        <v>46146</v>
      </c>
      <c r="AO3">
        <v>0</v>
      </c>
      <c r="AP3">
        <v>0</v>
      </c>
      <c r="AQ3">
        <v>0</v>
      </c>
      <c r="AR3" t="s">
        <v>99</v>
      </c>
      <c r="AS3">
        <v>0</v>
      </c>
    </row>
    <row r="4" spans="1:46" hidden="1" x14ac:dyDescent="0.35">
      <c r="A4" t="s">
        <v>44</v>
      </c>
      <c r="B4" s="3">
        <v>46134</v>
      </c>
      <c r="C4">
        <v>0</v>
      </c>
      <c r="D4" t="s">
        <v>45</v>
      </c>
      <c r="E4">
        <v>2103</v>
      </c>
      <c r="F4">
        <v>2103</v>
      </c>
      <c r="J4" t="s">
        <v>45</v>
      </c>
      <c r="K4" t="s">
        <v>45</v>
      </c>
      <c r="L4" s="4" t="s">
        <v>143</v>
      </c>
      <c r="M4" t="s">
        <v>45</v>
      </c>
      <c r="N4" s="4" t="s">
        <v>51</v>
      </c>
      <c r="O4" t="s">
        <v>47</v>
      </c>
      <c r="P4" t="s">
        <v>52</v>
      </c>
      <c r="Q4" t="s">
        <v>53</v>
      </c>
      <c r="R4">
        <v>2025</v>
      </c>
      <c r="S4">
        <v>2025</v>
      </c>
      <c r="T4" t="s">
        <v>54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N4" s="3">
        <v>46146</v>
      </c>
      <c r="AO4">
        <v>0</v>
      </c>
      <c r="AP4">
        <v>0</v>
      </c>
      <c r="AQ4">
        <v>0</v>
      </c>
      <c r="AR4" t="s">
        <v>99</v>
      </c>
      <c r="AS4" t="s">
        <v>186</v>
      </c>
      <c r="AT4" t="s">
        <v>190</v>
      </c>
    </row>
    <row r="5" spans="1:46" x14ac:dyDescent="0.35">
      <c r="A5" t="s">
        <v>44</v>
      </c>
      <c r="B5" s="3">
        <v>46139</v>
      </c>
      <c r="C5">
        <v>0</v>
      </c>
      <c r="D5" t="s">
        <v>45</v>
      </c>
      <c r="E5">
        <v>2103</v>
      </c>
      <c r="F5">
        <v>2103</v>
      </c>
      <c r="J5" t="s">
        <v>45</v>
      </c>
      <c r="K5" t="s">
        <v>45</v>
      </c>
      <c r="L5" t="s">
        <v>147</v>
      </c>
      <c r="M5" t="s">
        <v>45</v>
      </c>
      <c r="N5" t="s">
        <v>64</v>
      </c>
      <c r="O5" t="s">
        <v>47</v>
      </c>
      <c r="P5" t="s">
        <v>65</v>
      </c>
      <c r="Q5" t="s">
        <v>66</v>
      </c>
      <c r="R5">
        <v>2025</v>
      </c>
      <c r="S5">
        <v>2025</v>
      </c>
      <c r="T5" t="s">
        <v>67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N5" s="3">
        <v>46146</v>
      </c>
      <c r="AO5">
        <v>0</v>
      </c>
      <c r="AP5">
        <v>0</v>
      </c>
      <c r="AQ5">
        <v>0</v>
      </c>
      <c r="AR5" t="s">
        <v>99</v>
      </c>
      <c r="AS5">
        <v>0</v>
      </c>
    </row>
    <row r="6" spans="1:46" x14ac:dyDescent="0.35">
      <c r="A6" t="s">
        <v>44</v>
      </c>
      <c r="B6" s="3">
        <v>46122</v>
      </c>
      <c r="C6">
        <v>0</v>
      </c>
      <c r="D6" t="s">
        <v>45</v>
      </c>
      <c r="E6">
        <v>2103</v>
      </c>
      <c r="F6">
        <v>2103</v>
      </c>
      <c r="J6" t="s">
        <v>45</v>
      </c>
      <c r="K6" t="s">
        <v>45</v>
      </c>
      <c r="L6" t="s">
        <v>128</v>
      </c>
      <c r="M6" t="s">
        <v>45</v>
      </c>
      <c r="N6" t="s">
        <v>166</v>
      </c>
      <c r="O6" t="s">
        <v>47</v>
      </c>
      <c r="P6" t="s">
        <v>48</v>
      </c>
      <c r="Q6" t="s">
        <v>49</v>
      </c>
      <c r="R6">
        <v>2025</v>
      </c>
      <c r="S6">
        <v>2025</v>
      </c>
      <c r="T6" t="s">
        <v>50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N6" s="3">
        <v>46146</v>
      </c>
      <c r="AO6">
        <v>0</v>
      </c>
      <c r="AP6">
        <v>0</v>
      </c>
      <c r="AQ6">
        <v>0</v>
      </c>
      <c r="AR6" t="s">
        <v>99</v>
      </c>
      <c r="AS6">
        <v>0</v>
      </c>
    </row>
    <row r="7" spans="1:46" x14ac:dyDescent="0.35">
      <c r="A7" t="s">
        <v>44</v>
      </c>
      <c r="B7" s="3">
        <v>46128</v>
      </c>
      <c r="C7">
        <v>0</v>
      </c>
      <c r="D7" t="s">
        <v>45</v>
      </c>
      <c r="E7">
        <v>2103</v>
      </c>
      <c r="F7">
        <v>2103</v>
      </c>
      <c r="J7" t="s">
        <v>45</v>
      </c>
      <c r="K7" t="s">
        <v>45</v>
      </c>
      <c r="L7" t="s">
        <v>136</v>
      </c>
      <c r="M7" t="s">
        <v>45</v>
      </c>
      <c r="N7" t="s">
        <v>171</v>
      </c>
      <c r="O7" t="s">
        <v>47</v>
      </c>
      <c r="P7" t="s">
        <v>78</v>
      </c>
      <c r="Q7" t="s">
        <v>79</v>
      </c>
      <c r="R7">
        <v>2026</v>
      </c>
      <c r="S7">
        <v>2026</v>
      </c>
      <c r="T7" t="s">
        <v>54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 s="3">
        <v>46146</v>
      </c>
      <c r="AO7">
        <v>0</v>
      </c>
      <c r="AP7">
        <v>0</v>
      </c>
      <c r="AQ7">
        <v>0</v>
      </c>
      <c r="AR7" t="s">
        <v>99</v>
      </c>
      <c r="AS7">
        <v>0</v>
      </c>
    </row>
    <row r="8" spans="1:46" x14ac:dyDescent="0.35">
      <c r="A8" t="s">
        <v>44</v>
      </c>
      <c r="B8" s="3">
        <v>46127</v>
      </c>
      <c r="C8">
        <v>0</v>
      </c>
      <c r="D8" t="s">
        <v>45</v>
      </c>
      <c r="E8">
        <v>2103</v>
      </c>
      <c r="F8">
        <v>2103</v>
      </c>
      <c r="J8" t="s">
        <v>45</v>
      </c>
      <c r="K8" t="s">
        <v>45</v>
      </c>
      <c r="L8" t="s">
        <v>116</v>
      </c>
      <c r="M8" t="s">
        <v>45</v>
      </c>
      <c r="N8" t="s">
        <v>162</v>
      </c>
      <c r="O8" t="s">
        <v>47</v>
      </c>
      <c r="P8" t="s">
        <v>48</v>
      </c>
      <c r="Q8" t="s">
        <v>49</v>
      </c>
      <c r="R8">
        <v>2025</v>
      </c>
      <c r="S8">
        <v>2025</v>
      </c>
      <c r="T8" t="s">
        <v>50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N8" s="3">
        <v>46146</v>
      </c>
      <c r="AO8">
        <v>0</v>
      </c>
      <c r="AP8">
        <v>0</v>
      </c>
      <c r="AQ8">
        <v>0</v>
      </c>
      <c r="AR8" t="s">
        <v>99</v>
      </c>
      <c r="AS8">
        <v>0</v>
      </c>
    </row>
    <row r="9" spans="1:46" x14ac:dyDescent="0.35">
      <c r="A9" t="s">
        <v>44</v>
      </c>
      <c r="B9" s="3">
        <v>46129</v>
      </c>
      <c r="C9">
        <v>0</v>
      </c>
      <c r="D9" t="s">
        <v>45</v>
      </c>
      <c r="E9">
        <v>2103</v>
      </c>
      <c r="F9">
        <v>2103</v>
      </c>
      <c r="J9" t="s">
        <v>45</v>
      </c>
      <c r="K9" t="s">
        <v>45</v>
      </c>
      <c r="L9" t="s">
        <v>83</v>
      </c>
      <c r="M9" t="s">
        <v>45</v>
      </c>
      <c r="N9" t="s">
        <v>155</v>
      </c>
      <c r="O9" t="s">
        <v>47</v>
      </c>
      <c r="P9" t="s">
        <v>183</v>
      </c>
      <c r="Q9" t="s">
        <v>184</v>
      </c>
      <c r="R9">
        <v>2024</v>
      </c>
      <c r="S9">
        <v>2024</v>
      </c>
      <c r="T9" t="s">
        <v>54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N9" s="3">
        <v>46146</v>
      </c>
      <c r="AO9">
        <v>0</v>
      </c>
      <c r="AP9">
        <v>0</v>
      </c>
      <c r="AQ9">
        <v>0</v>
      </c>
      <c r="AR9" t="s">
        <v>99</v>
      </c>
      <c r="AS9">
        <v>0</v>
      </c>
    </row>
    <row r="10" spans="1:46" x14ac:dyDescent="0.35">
      <c r="A10" t="s">
        <v>44</v>
      </c>
      <c r="B10" s="3">
        <v>46134</v>
      </c>
      <c r="C10">
        <v>0</v>
      </c>
      <c r="D10" t="s">
        <v>45</v>
      </c>
      <c r="E10">
        <v>2103</v>
      </c>
      <c r="F10">
        <v>2103</v>
      </c>
      <c r="J10" t="s">
        <v>45</v>
      </c>
      <c r="K10" t="s">
        <v>45</v>
      </c>
      <c r="L10" t="s">
        <v>142</v>
      </c>
      <c r="M10" t="s">
        <v>45</v>
      </c>
      <c r="N10" t="s">
        <v>46</v>
      </c>
      <c r="O10" t="s">
        <v>47</v>
      </c>
      <c r="P10" t="s">
        <v>48</v>
      </c>
      <c r="Q10" t="s">
        <v>49</v>
      </c>
      <c r="R10">
        <v>2025</v>
      </c>
      <c r="S10">
        <v>2025</v>
      </c>
      <c r="T10" t="s">
        <v>50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N10" s="3">
        <v>46146</v>
      </c>
      <c r="AO10">
        <v>0</v>
      </c>
      <c r="AP10">
        <v>0</v>
      </c>
      <c r="AQ10">
        <v>0</v>
      </c>
      <c r="AR10" t="s">
        <v>99</v>
      </c>
      <c r="AS10">
        <v>0</v>
      </c>
    </row>
    <row r="11" spans="1:46" x14ac:dyDescent="0.35">
      <c r="A11" t="s">
        <v>44</v>
      </c>
      <c r="B11" s="3">
        <v>46122</v>
      </c>
      <c r="C11">
        <v>0</v>
      </c>
      <c r="D11" t="s">
        <v>45</v>
      </c>
      <c r="E11">
        <v>2103</v>
      </c>
      <c r="F11">
        <v>2103</v>
      </c>
      <c r="J11" t="s">
        <v>45</v>
      </c>
      <c r="K11" t="s">
        <v>45</v>
      </c>
      <c r="L11" t="s">
        <v>138</v>
      </c>
      <c r="M11" t="s">
        <v>45</v>
      </c>
      <c r="N11" t="s">
        <v>173</v>
      </c>
      <c r="O11" t="s">
        <v>47</v>
      </c>
      <c r="P11" t="s">
        <v>178</v>
      </c>
      <c r="Q11" t="s">
        <v>179</v>
      </c>
      <c r="R11">
        <v>2024</v>
      </c>
      <c r="S11">
        <v>2025</v>
      </c>
      <c r="T11" t="s">
        <v>180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N11" s="3">
        <v>46146</v>
      </c>
      <c r="AO11">
        <v>0</v>
      </c>
      <c r="AP11">
        <v>0</v>
      </c>
      <c r="AQ11">
        <v>0</v>
      </c>
      <c r="AR11" t="s">
        <v>99</v>
      </c>
      <c r="AS11">
        <v>0</v>
      </c>
    </row>
    <row r="12" spans="1:46" x14ac:dyDescent="0.35">
      <c r="A12" t="s">
        <v>44</v>
      </c>
      <c r="B12" s="3">
        <v>46140</v>
      </c>
      <c r="C12">
        <v>0</v>
      </c>
      <c r="D12" t="s">
        <v>45</v>
      </c>
      <c r="E12">
        <v>2103</v>
      </c>
      <c r="F12">
        <v>2103</v>
      </c>
      <c r="J12" t="s">
        <v>45</v>
      </c>
      <c r="K12" t="s">
        <v>45</v>
      </c>
      <c r="L12" t="s">
        <v>151</v>
      </c>
      <c r="M12" t="s">
        <v>45</v>
      </c>
      <c r="N12" t="s">
        <v>74</v>
      </c>
      <c r="O12" t="s">
        <v>47</v>
      </c>
      <c r="P12" t="s">
        <v>69</v>
      </c>
      <c r="Q12" t="s">
        <v>70</v>
      </c>
      <c r="R12">
        <v>2025</v>
      </c>
      <c r="S12">
        <v>2025</v>
      </c>
      <c r="T12" t="s">
        <v>71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N12" s="3">
        <v>46146</v>
      </c>
      <c r="AO12">
        <v>0</v>
      </c>
      <c r="AP12">
        <v>0</v>
      </c>
      <c r="AQ12">
        <v>0</v>
      </c>
      <c r="AR12" t="s">
        <v>99</v>
      </c>
      <c r="AS12">
        <v>0</v>
      </c>
    </row>
    <row r="13" spans="1:46" x14ac:dyDescent="0.35">
      <c r="A13" t="s">
        <v>44</v>
      </c>
      <c r="B13" s="3">
        <v>46121</v>
      </c>
      <c r="C13">
        <v>0</v>
      </c>
      <c r="D13" t="s">
        <v>45</v>
      </c>
      <c r="E13">
        <v>2103</v>
      </c>
      <c r="F13">
        <v>2103</v>
      </c>
      <c r="J13" t="s">
        <v>45</v>
      </c>
      <c r="K13" t="s">
        <v>45</v>
      </c>
      <c r="L13" t="s">
        <v>87</v>
      </c>
      <c r="M13" t="s">
        <v>45</v>
      </c>
      <c r="N13" t="s">
        <v>156</v>
      </c>
      <c r="O13" t="s">
        <v>47</v>
      </c>
      <c r="P13" t="s">
        <v>174</v>
      </c>
      <c r="Q13" t="s">
        <v>175</v>
      </c>
      <c r="R13">
        <v>2024</v>
      </c>
      <c r="S13">
        <v>2024</v>
      </c>
      <c r="T13" t="s">
        <v>176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N13" s="3">
        <v>46146</v>
      </c>
      <c r="AO13">
        <v>0</v>
      </c>
      <c r="AP13">
        <v>0</v>
      </c>
      <c r="AQ13">
        <v>0</v>
      </c>
      <c r="AR13" t="s">
        <v>99</v>
      </c>
      <c r="AS13">
        <v>0</v>
      </c>
    </row>
    <row r="14" spans="1:46" hidden="1" x14ac:dyDescent="0.35">
      <c r="A14" t="s">
        <v>44</v>
      </c>
      <c r="B14" s="3">
        <v>46118</v>
      </c>
      <c r="C14">
        <v>0</v>
      </c>
      <c r="D14" t="s">
        <v>45</v>
      </c>
      <c r="E14">
        <v>2103</v>
      </c>
      <c r="F14">
        <v>2103</v>
      </c>
      <c r="J14" t="s">
        <v>45</v>
      </c>
      <c r="K14" t="s">
        <v>45</v>
      </c>
      <c r="L14" t="s">
        <v>110</v>
      </c>
      <c r="M14" t="s">
        <v>45</v>
      </c>
      <c r="N14" t="s">
        <v>161</v>
      </c>
      <c r="O14" t="s">
        <v>47</v>
      </c>
      <c r="P14" t="s">
        <v>69</v>
      </c>
      <c r="Q14" t="s">
        <v>70</v>
      </c>
      <c r="R14">
        <v>2025</v>
      </c>
      <c r="S14">
        <v>2025</v>
      </c>
      <c r="T14" t="s">
        <v>71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 s="3">
        <v>46146</v>
      </c>
      <c r="AO14">
        <v>0</v>
      </c>
      <c r="AP14">
        <v>0</v>
      </c>
      <c r="AQ14">
        <v>0</v>
      </c>
      <c r="AR14" t="s">
        <v>99</v>
      </c>
      <c r="AS14" t="s">
        <v>187</v>
      </c>
      <c r="AT14" t="s">
        <v>190</v>
      </c>
    </row>
    <row r="15" spans="1:46" x14ac:dyDescent="0.35">
      <c r="A15" t="s">
        <v>44</v>
      </c>
      <c r="B15" s="3">
        <v>46122</v>
      </c>
      <c r="C15">
        <v>0</v>
      </c>
      <c r="D15" t="s">
        <v>45</v>
      </c>
      <c r="E15">
        <v>2103</v>
      </c>
      <c r="F15">
        <v>2103</v>
      </c>
      <c r="J15" t="s">
        <v>45</v>
      </c>
      <c r="K15" t="s">
        <v>45</v>
      </c>
      <c r="L15" t="s">
        <v>94</v>
      </c>
      <c r="M15" t="s">
        <v>45</v>
      </c>
      <c r="N15" t="s">
        <v>158</v>
      </c>
      <c r="O15" t="s">
        <v>47</v>
      </c>
      <c r="P15" t="s">
        <v>181</v>
      </c>
      <c r="Q15" t="s">
        <v>182</v>
      </c>
      <c r="R15">
        <v>2025</v>
      </c>
      <c r="S15">
        <v>2025</v>
      </c>
      <c r="T15" t="s">
        <v>63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N15" s="3">
        <v>46146</v>
      </c>
      <c r="AO15">
        <v>0</v>
      </c>
      <c r="AP15">
        <v>0</v>
      </c>
      <c r="AQ15">
        <v>0</v>
      </c>
      <c r="AR15" t="s">
        <v>99</v>
      </c>
      <c r="AS15">
        <v>0</v>
      </c>
    </row>
    <row r="16" spans="1:46" hidden="1" x14ac:dyDescent="0.35">
      <c r="A16" t="s">
        <v>44</v>
      </c>
      <c r="B16" s="3">
        <v>46121</v>
      </c>
      <c r="C16">
        <v>0</v>
      </c>
      <c r="D16" t="s">
        <v>45</v>
      </c>
      <c r="E16">
        <v>2103</v>
      </c>
      <c r="F16">
        <v>2103</v>
      </c>
      <c r="J16" t="s">
        <v>45</v>
      </c>
      <c r="K16" t="s">
        <v>45</v>
      </c>
      <c r="L16" t="s">
        <v>108</v>
      </c>
      <c r="M16" t="s">
        <v>45</v>
      </c>
      <c r="N16" t="s">
        <v>160</v>
      </c>
      <c r="O16" t="s">
        <v>47</v>
      </c>
      <c r="P16" t="s">
        <v>177</v>
      </c>
      <c r="Q16" t="s">
        <v>49</v>
      </c>
      <c r="R16">
        <v>2025</v>
      </c>
      <c r="S16">
        <v>2025</v>
      </c>
      <c r="T16" t="s">
        <v>50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 s="3">
        <v>46146</v>
      </c>
      <c r="AO16">
        <v>0</v>
      </c>
      <c r="AP16">
        <v>0</v>
      </c>
      <c r="AQ16">
        <v>0</v>
      </c>
      <c r="AR16" t="s">
        <v>99</v>
      </c>
      <c r="AS16" t="s">
        <v>188</v>
      </c>
      <c r="AT16" t="s">
        <v>190</v>
      </c>
    </row>
    <row r="17" spans="1:46" x14ac:dyDescent="0.35">
      <c r="A17" t="s">
        <v>44</v>
      </c>
      <c r="B17" s="3">
        <v>46135</v>
      </c>
      <c r="C17">
        <v>0</v>
      </c>
      <c r="D17" t="s">
        <v>45</v>
      </c>
      <c r="E17">
        <v>2103</v>
      </c>
      <c r="F17">
        <v>2103</v>
      </c>
      <c r="J17" t="s">
        <v>45</v>
      </c>
      <c r="K17" t="s">
        <v>45</v>
      </c>
      <c r="L17" t="s">
        <v>146</v>
      </c>
      <c r="M17" t="s">
        <v>45</v>
      </c>
      <c r="N17" t="s">
        <v>60</v>
      </c>
      <c r="O17" t="s">
        <v>47</v>
      </c>
      <c r="P17" t="s">
        <v>61</v>
      </c>
      <c r="Q17" t="s">
        <v>62</v>
      </c>
      <c r="R17">
        <v>2024</v>
      </c>
      <c r="S17">
        <v>2025</v>
      </c>
      <c r="T17" t="s">
        <v>63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N17" s="3">
        <v>46146</v>
      </c>
      <c r="AO17">
        <v>0</v>
      </c>
      <c r="AP17">
        <v>0</v>
      </c>
      <c r="AQ17">
        <v>0</v>
      </c>
      <c r="AR17" t="s">
        <v>99</v>
      </c>
      <c r="AS17">
        <v>0</v>
      </c>
    </row>
    <row r="18" spans="1:46" x14ac:dyDescent="0.35">
      <c r="A18" t="s">
        <v>44</v>
      </c>
      <c r="B18" s="3">
        <v>46140</v>
      </c>
      <c r="C18">
        <v>0</v>
      </c>
      <c r="D18" t="s">
        <v>45</v>
      </c>
      <c r="E18">
        <v>2103</v>
      </c>
      <c r="F18">
        <v>2103</v>
      </c>
      <c r="J18" t="s">
        <v>45</v>
      </c>
      <c r="K18" t="s">
        <v>45</v>
      </c>
      <c r="L18" t="s">
        <v>150</v>
      </c>
      <c r="M18" t="s">
        <v>45</v>
      </c>
      <c r="N18" t="s">
        <v>73</v>
      </c>
      <c r="O18" t="s">
        <v>47</v>
      </c>
      <c r="P18" t="s">
        <v>65</v>
      </c>
      <c r="Q18" t="s">
        <v>66</v>
      </c>
      <c r="R18">
        <v>2025</v>
      </c>
      <c r="S18">
        <v>2025</v>
      </c>
      <c r="T18" t="s">
        <v>67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N18" s="3">
        <v>46146</v>
      </c>
      <c r="AO18">
        <v>0</v>
      </c>
      <c r="AP18">
        <v>0</v>
      </c>
      <c r="AQ18">
        <v>0</v>
      </c>
      <c r="AR18" t="s">
        <v>99</v>
      </c>
      <c r="AS18">
        <v>0</v>
      </c>
    </row>
    <row r="19" spans="1:46" x14ac:dyDescent="0.35">
      <c r="A19" t="s">
        <v>44</v>
      </c>
      <c r="B19" s="3">
        <v>46125</v>
      </c>
      <c r="C19">
        <v>0</v>
      </c>
      <c r="D19" t="s">
        <v>45</v>
      </c>
      <c r="E19">
        <v>2103</v>
      </c>
      <c r="F19">
        <v>2103</v>
      </c>
      <c r="J19" t="s">
        <v>45</v>
      </c>
      <c r="K19" t="s">
        <v>45</v>
      </c>
      <c r="L19" t="s">
        <v>104</v>
      </c>
      <c r="M19" t="s">
        <v>45</v>
      </c>
      <c r="N19" t="s">
        <v>159</v>
      </c>
      <c r="O19" t="s">
        <v>47</v>
      </c>
      <c r="P19" t="s">
        <v>52</v>
      </c>
      <c r="Q19" t="s">
        <v>53</v>
      </c>
      <c r="R19">
        <v>2025</v>
      </c>
      <c r="S19">
        <v>2025</v>
      </c>
      <c r="T19" t="s">
        <v>54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N19" s="3">
        <v>46146</v>
      </c>
      <c r="AO19">
        <v>0</v>
      </c>
      <c r="AP19">
        <v>0</v>
      </c>
      <c r="AQ19">
        <v>0</v>
      </c>
      <c r="AR19" t="s">
        <v>99</v>
      </c>
      <c r="AS19">
        <v>0</v>
      </c>
    </row>
    <row r="20" spans="1:46" x14ac:dyDescent="0.35">
      <c r="A20" t="s">
        <v>44</v>
      </c>
      <c r="B20" s="3">
        <v>46139</v>
      </c>
      <c r="C20">
        <v>0</v>
      </c>
      <c r="D20" t="s">
        <v>45</v>
      </c>
      <c r="E20">
        <v>2103</v>
      </c>
      <c r="F20">
        <v>2103</v>
      </c>
      <c r="J20" t="s">
        <v>45</v>
      </c>
      <c r="K20" t="s">
        <v>45</v>
      </c>
      <c r="L20" t="s">
        <v>148</v>
      </c>
      <c r="M20" t="s">
        <v>45</v>
      </c>
      <c r="N20" t="s">
        <v>68</v>
      </c>
      <c r="O20" t="s">
        <v>47</v>
      </c>
      <c r="P20" t="s">
        <v>69</v>
      </c>
      <c r="Q20" t="s">
        <v>70</v>
      </c>
      <c r="R20">
        <v>2025</v>
      </c>
      <c r="S20">
        <v>2025</v>
      </c>
      <c r="T20" t="s">
        <v>71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N20" s="3">
        <v>46146</v>
      </c>
      <c r="AO20">
        <v>0</v>
      </c>
      <c r="AP20">
        <v>0</v>
      </c>
      <c r="AQ20">
        <v>0</v>
      </c>
      <c r="AR20" t="s">
        <v>99</v>
      </c>
      <c r="AS20">
        <v>0</v>
      </c>
    </row>
    <row r="21" spans="1:46" x14ac:dyDescent="0.35">
      <c r="A21" t="s">
        <v>44</v>
      </c>
      <c r="B21" s="3">
        <v>46125</v>
      </c>
      <c r="C21">
        <v>0</v>
      </c>
      <c r="D21" t="s">
        <v>45</v>
      </c>
      <c r="E21">
        <v>2103</v>
      </c>
      <c r="F21">
        <v>2103</v>
      </c>
      <c r="J21" t="s">
        <v>45</v>
      </c>
      <c r="K21" t="s">
        <v>45</v>
      </c>
      <c r="L21" t="s">
        <v>91</v>
      </c>
      <c r="M21" t="s">
        <v>45</v>
      </c>
      <c r="N21" t="s">
        <v>157</v>
      </c>
      <c r="O21" t="s">
        <v>47</v>
      </c>
      <c r="P21" t="s">
        <v>52</v>
      </c>
      <c r="Q21" t="s">
        <v>53</v>
      </c>
      <c r="R21">
        <v>2025</v>
      </c>
      <c r="S21">
        <v>2025</v>
      </c>
      <c r="T21" t="s">
        <v>54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N21" s="3">
        <v>46146</v>
      </c>
      <c r="AO21">
        <v>0</v>
      </c>
      <c r="AP21">
        <v>0</v>
      </c>
      <c r="AQ21">
        <v>0</v>
      </c>
      <c r="AR21" t="s">
        <v>99</v>
      </c>
      <c r="AS21">
        <v>0</v>
      </c>
    </row>
    <row r="22" spans="1:46" hidden="1" x14ac:dyDescent="0.35">
      <c r="A22" t="s">
        <v>44</v>
      </c>
      <c r="B22" s="3">
        <v>46122</v>
      </c>
      <c r="C22">
        <v>0</v>
      </c>
      <c r="D22" t="s">
        <v>45</v>
      </c>
      <c r="E22">
        <v>2103</v>
      </c>
      <c r="F22">
        <v>2103</v>
      </c>
      <c r="J22" t="s">
        <v>45</v>
      </c>
      <c r="K22" t="s">
        <v>45</v>
      </c>
      <c r="L22" t="s">
        <v>121</v>
      </c>
      <c r="M22" t="s">
        <v>45</v>
      </c>
      <c r="N22" t="s">
        <v>163</v>
      </c>
      <c r="O22" t="s">
        <v>47</v>
      </c>
      <c r="P22" t="s">
        <v>69</v>
      </c>
      <c r="Q22" t="s">
        <v>70</v>
      </c>
      <c r="R22">
        <v>2025</v>
      </c>
      <c r="S22">
        <v>2025</v>
      </c>
      <c r="T22" t="s">
        <v>71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N22" s="3">
        <v>46146</v>
      </c>
      <c r="AO22">
        <v>0</v>
      </c>
      <c r="AP22">
        <v>0</v>
      </c>
      <c r="AQ22">
        <v>0</v>
      </c>
      <c r="AR22" t="s">
        <v>99</v>
      </c>
      <c r="AS22" t="s">
        <v>188</v>
      </c>
      <c r="AT22" t="s">
        <v>190</v>
      </c>
    </row>
    <row r="23" spans="1:46" x14ac:dyDescent="0.35">
      <c r="A23" t="s">
        <v>44</v>
      </c>
      <c r="B23" s="3">
        <v>46135</v>
      </c>
      <c r="C23">
        <v>0</v>
      </c>
      <c r="D23" t="s">
        <v>45</v>
      </c>
      <c r="E23">
        <v>2103</v>
      </c>
      <c r="F23">
        <v>2103</v>
      </c>
      <c r="J23" t="s">
        <v>45</v>
      </c>
      <c r="K23" t="s">
        <v>45</v>
      </c>
      <c r="L23" t="s">
        <v>145</v>
      </c>
      <c r="M23" t="s">
        <v>45</v>
      </c>
      <c r="N23" t="s">
        <v>56</v>
      </c>
      <c r="O23" t="s">
        <v>47</v>
      </c>
      <c r="P23" t="s">
        <v>57</v>
      </c>
      <c r="Q23" t="s">
        <v>58</v>
      </c>
      <c r="R23">
        <v>2025</v>
      </c>
      <c r="S23">
        <v>2025</v>
      </c>
      <c r="T23" t="s">
        <v>59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N23" s="3">
        <v>46146</v>
      </c>
      <c r="AO23">
        <v>0</v>
      </c>
      <c r="AP23">
        <v>0</v>
      </c>
      <c r="AQ23">
        <v>0</v>
      </c>
      <c r="AR23" t="s">
        <v>99</v>
      </c>
      <c r="AS23">
        <v>0</v>
      </c>
    </row>
    <row r="24" spans="1:46" x14ac:dyDescent="0.35">
      <c r="A24" t="s">
        <v>44</v>
      </c>
      <c r="B24" s="3">
        <v>46134</v>
      </c>
      <c r="C24">
        <v>0</v>
      </c>
      <c r="D24" t="s">
        <v>45</v>
      </c>
      <c r="E24">
        <v>2103</v>
      </c>
      <c r="F24">
        <v>2103</v>
      </c>
      <c r="J24" t="s">
        <v>45</v>
      </c>
      <c r="K24" t="s">
        <v>45</v>
      </c>
      <c r="L24" t="s">
        <v>144</v>
      </c>
      <c r="M24" t="s">
        <v>45</v>
      </c>
      <c r="N24" t="s">
        <v>55</v>
      </c>
      <c r="O24" t="s">
        <v>47</v>
      </c>
      <c r="P24" t="s">
        <v>52</v>
      </c>
      <c r="Q24" t="s">
        <v>53</v>
      </c>
      <c r="R24">
        <v>2025</v>
      </c>
      <c r="S24">
        <v>2025</v>
      </c>
      <c r="T24" t="s">
        <v>54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N24" s="3">
        <v>46146</v>
      </c>
      <c r="AO24">
        <v>0</v>
      </c>
      <c r="AP24">
        <v>0</v>
      </c>
      <c r="AQ24">
        <v>0</v>
      </c>
      <c r="AR24" t="s">
        <v>99</v>
      </c>
      <c r="AS24">
        <v>0</v>
      </c>
    </row>
    <row r="25" spans="1:46" x14ac:dyDescent="0.35">
      <c r="A25" t="s">
        <v>44</v>
      </c>
      <c r="B25" s="3">
        <v>46139</v>
      </c>
      <c r="C25">
        <v>0</v>
      </c>
      <c r="D25" t="s">
        <v>45</v>
      </c>
      <c r="E25">
        <v>2103</v>
      </c>
      <c r="F25">
        <v>2103</v>
      </c>
      <c r="J25" t="s">
        <v>45</v>
      </c>
      <c r="K25" t="s">
        <v>45</v>
      </c>
      <c r="L25" t="s">
        <v>149</v>
      </c>
      <c r="M25" t="s">
        <v>45</v>
      </c>
      <c r="N25" t="s">
        <v>72</v>
      </c>
      <c r="O25" t="s">
        <v>47</v>
      </c>
      <c r="P25" t="s">
        <v>52</v>
      </c>
      <c r="Q25" t="s">
        <v>53</v>
      </c>
      <c r="R25">
        <v>2025</v>
      </c>
      <c r="S25">
        <v>2025</v>
      </c>
      <c r="T25" t="s">
        <v>54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N25" s="3">
        <v>46146</v>
      </c>
      <c r="AO25">
        <v>0</v>
      </c>
      <c r="AP25">
        <v>0</v>
      </c>
      <c r="AQ25">
        <v>0</v>
      </c>
      <c r="AR25" t="s">
        <v>99</v>
      </c>
      <c r="AS25">
        <v>0</v>
      </c>
    </row>
    <row r="26" spans="1:46" hidden="1" x14ac:dyDescent="0.35">
      <c r="A26" t="s">
        <v>44</v>
      </c>
      <c r="B26" s="3">
        <v>46126</v>
      </c>
      <c r="C26">
        <v>0</v>
      </c>
      <c r="D26" t="s">
        <v>45</v>
      </c>
      <c r="E26">
        <v>2103</v>
      </c>
      <c r="F26">
        <v>2103</v>
      </c>
      <c r="J26" t="s">
        <v>45</v>
      </c>
      <c r="K26" t="s">
        <v>45</v>
      </c>
      <c r="L26" t="s">
        <v>125</v>
      </c>
      <c r="M26" t="s">
        <v>45</v>
      </c>
      <c r="N26" t="s">
        <v>165</v>
      </c>
      <c r="O26" t="s">
        <v>47</v>
      </c>
      <c r="P26" t="s">
        <v>48</v>
      </c>
      <c r="Q26" t="s">
        <v>49</v>
      </c>
      <c r="R26">
        <v>2025</v>
      </c>
      <c r="S26">
        <v>2025</v>
      </c>
      <c r="T26" t="s">
        <v>50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N26" s="3">
        <v>46146</v>
      </c>
      <c r="AO26">
        <v>0</v>
      </c>
      <c r="AP26">
        <v>0</v>
      </c>
      <c r="AQ26">
        <v>0</v>
      </c>
      <c r="AR26" t="s">
        <v>99</v>
      </c>
      <c r="AS26" t="s">
        <v>188</v>
      </c>
      <c r="AT26" t="s">
        <v>190</v>
      </c>
    </row>
    <row r="27" spans="1:46" x14ac:dyDescent="0.35">
      <c r="A27" t="s">
        <v>44</v>
      </c>
      <c r="B27" s="3">
        <v>46141</v>
      </c>
      <c r="C27">
        <v>0</v>
      </c>
      <c r="D27" t="s">
        <v>45</v>
      </c>
      <c r="E27">
        <v>2103</v>
      </c>
      <c r="F27">
        <v>2103</v>
      </c>
      <c r="J27" t="s">
        <v>45</v>
      </c>
      <c r="K27" t="s">
        <v>45</v>
      </c>
      <c r="L27" t="s">
        <v>152</v>
      </c>
      <c r="M27" t="s">
        <v>45</v>
      </c>
      <c r="N27" t="s">
        <v>75</v>
      </c>
      <c r="O27" t="s">
        <v>47</v>
      </c>
      <c r="P27" t="s">
        <v>52</v>
      </c>
      <c r="Q27" t="s">
        <v>53</v>
      </c>
      <c r="R27">
        <v>2025</v>
      </c>
      <c r="S27">
        <v>2025</v>
      </c>
      <c r="T27" t="s">
        <v>54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N27" s="3">
        <v>46146</v>
      </c>
      <c r="AO27">
        <v>0</v>
      </c>
      <c r="AP27">
        <v>0</v>
      </c>
      <c r="AQ27">
        <v>0</v>
      </c>
      <c r="AR27" t="s">
        <v>99</v>
      </c>
      <c r="AS27">
        <v>0</v>
      </c>
    </row>
    <row r="28" spans="1:46" x14ac:dyDescent="0.35">
      <c r="A28" t="s">
        <v>44</v>
      </c>
      <c r="B28" s="3">
        <v>46128</v>
      </c>
      <c r="C28">
        <v>0</v>
      </c>
      <c r="D28" t="s">
        <v>45</v>
      </c>
      <c r="E28">
        <v>2103</v>
      </c>
      <c r="F28">
        <v>2103</v>
      </c>
      <c r="J28" t="s">
        <v>45</v>
      </c>
      <c r="K28" t="s">
        <v>45</v>
      </c>
      <c r="L28" t="s">
        <v>137</v>
      </c>
      <c r="M28" t="s">
        <v>45</v>
      </c>
      <c r="N28" t="s">
        <v>172</v>
      </c>
      <c r="O28" t="s">
        <v>47</v>
      </c>
      <c r="P28" t="s">
        <v>78</v>
      </c>
      <c r="Q28" t="s">
        <v>79</v>
      </c>
      <c r="R28">
        <v>2026</v>
      </c>
      <c r="S28">
        <v>2026</v>
      </c>
      <c r="T28" t="s">
        <v>54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N28" s="3">
        <v>46146</v>
      </c>
      <c r="AO28">
        <v>0</v>
      </c>
      <c r="AP28">
        <v>0</v>
      </c>
      <c r="AQ28">
        <v>0</v>
      </c>
      <c r="AR28" t="s">
        <v>99</v>
      </c>
      <c r="AS28">
        <v>0</v>
      </c>
    </row>
    <row r="29" spans="1:46" x14ac:dyDescent="0.35">
      <c r="A29" t="s">
        <v>44</v>
      </c>
      <c r="B29" s="3">
        <v>46122</v>
      </c>
      <c r="C29">
        <v>0</v>
      </c>
      <c r="D29" t="s">
        <v>45</v>
      </c>
      <c r="E29">
        <v>2103</v>
      </c>
      <c r="F29">
        <v>2103</v>
      </c>
      <c r="J29" t="s">
        <v>45</v>
      </c>
      <c r="K29" t="s">
        <v>45</v>
      </c>
      <c r="L29" t="s">
        <v>135</v>
      </c>
      <c r="M29" t="s">
        <v>45</v>
      </c>
      <c r="N29" t="s">
        <v>170</v>
      </c>
      <c r="O29" t="s">
        <v>47</v>
      </c>
      <c r="P29" t="s">
        <v>78</v>
      </c>
      <c r="Q29" t="s">
        <v>79</v>
      </c>
      <c r="R29">
        <v>2026</v>
      </c>
      <c r="S29">
        <v>2026</v>
      </c>
      <c r="T29" t="s">
        <v>54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N29" s="3">
        <v>46146</v>
      </c>
      <c r="AO29">
        <v>0</v>
      </c>
      <c r="AP29">
        <v>0</v>
      </c>
      <c r="AQ29">
        <v>0</v>
      </c>
      <c r="AR29" t="s">
        <v>99</v>
      </c>
      <c r="AS29">
        <v>0</v>
      </c>
    </row>
    <row r="30" spans="1:46" x14ac:dyDescent="0.35">
      <c r="A30" t="s">
        <v>44</v>
      </c>
      <c r="B30" s="3">
        <v>46125</v>
      </c>
      <c r="C30">
        <v>0</v>
      </c>
      <c r="D30" t="s">
        <v>45</v>
      </c>
      <c r="E30">
        <v>2103</v>
      </c>
      <c r="F30">
        <v>2103</v>
      </c>
      <c r="J30" t="s">
        <v>45</v>
      </c>
      <c r="K30" t="s">
        <v>45</v>
      </c>
      <c r="L30" t="s">
        <v>131</v>
      </c>
      <c r="M30" t="s">
        <v>45</v>
      </c>
      <c r="N30" t="s">
        <v>167</v>
      </c>
      <c r="O30" t="s">
        <v>47</v>
      </c>
      <c r="P30" t="s">
        <v>78</v>
      </c>
      <c r="Q30" t="s">
        <v>79</v>
      </c>
      <c r="R30">
        <v>2026</v>
      </c>
      <c r="S30">
        <v>2026</v>
      </c>
      <c r="T30" t="s">
        <v>54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N30" s="3">
        <v>46146</v>
      </c>
      <c r="AO30">
        <v>0</v>
      </c>
      <c r="AP30">
        <v>0</v>
      </c>
      <c r="AQ30">
        <v>0</v>
      </c>
      <c r="AR30" t="s">
        <v>99</v>
      </c>
      <c r="AS30">
        <v>0</v>
      </c>
    </row>
    <row r="31" spans="1:46" x14ac:dyDescent="0.35">
      <c r="A31" t="s">
        <v>44</v>
      </c>
      <c r="B31" s="3">
        <v>46122</v>
      </c>
      <c r="C31">
        <v>0</v>
      </c>
      <c r="D31" t="s">
        <v>45</v>
      </c>
      <c r="E31">
        <v>2103</v>
      </c>
      <c r="F31">
        <v>2103</v>
      </c>
      <c r="J31" t="s">
        <v>45</v>
      </c>
      <c r="K31" t="s">
        <v>45</v>
      </c>
      <c r="L31" t="s">
        <v>133</v>
      </c>
      <c r="M31" t="s">
        <v>45</v>
      </c>
      <c r="N31" t="s">
        <v>168</v>
      </c>
      <c r="O31" t="s">
        <v>47</v>
      </c>
      <c r="P31" t="s">
        <v>78</v>
      </c>
      <c r="Q31" t="s">
        <v>79</v>
      </c>
      <c r="R31">
        <v>2026</v>
      </c>
      <c r="S31">
        <v>2026</v>
      </c>
      <c r="T31" t="s">
        <v>54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N31" s="3">
        <v>46146</v>
      </c>
      <c r="AO31">
        <v>0</v>
      </c>
      <c r="AP31">
        <v>0</v>
      </c>
      <c r="AQ31">
        <v>0</v>
      </c>
      <c r="AR31" t="s">
        <v>99</v>
      </c>
      <c r="AS31">
        <v>0</v>
      </c>
    </row>
    <row r="32" spans="1:46" x14ac:dyDescent="0.35">
      <c r="A32" t="s">
        <v>44</v>
      </c>
      <c r="B32" s="3">
        <v>46127</v>
      </c>
      <c r="C32">
        <v>0</v>
      </c>
      <c r="D32" t="s">
        <v>45</v>
      </c>
      <c r="E32">
        <v>2103</v>
      </c>
      <c r="F32">
        <v>2103</v>
      </c>
      <c r="J32" t="s">
        <v>45</v>
      </c>
      <c r="K32" t="s">
        <v>45</v>
      </c>
      <c r="L32" t="s">
        <v>134</v>
      </c>
      <c r="M32" t="s">
        <v>45</v>
      </c>
      <c r="N32" t="s">
        <v>169</v>
      </c>
      <c r="O32" t="s">
        <v>47</v>
      </c>
      <c r="P32" t="s">
        <v>78</v>
      </c>
      <c r="Q32" t="s">
        <v>79</v>
      </c>
      <c r="R32">
        <v>2026</v>
      </c>
      <c r="S32">
        <v>2026</v>
      </c>
      <c r="T32" t="s">
        <v>54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N32" s="3">
        <v>46146</v>
      </c>
      <c r="AO32">
        <v>0</v>
      </c>
      <c r="AP32">
        <v>0</v>
      </c>
      <c r="AQ32">
        <v>0</v>
      </c>
      <c r="AR32" t="s">
        <v>99</v>
      </c>
      <c r="AS32">
        <v>0</v>
      </c>
    </row>
  </sheetData>
  <autoFilter ref="A2:AS32" xr:uid="{00000000-0001-0000-0000-000000000000}">
    <filterColumn colId="44">
      <filters>
        <filter val="0"/>
      </filters>
    </filterColumn>
    <sortState xmlns:xlrd2="http://schemas.microsoft.com/office/spreadsheetml/2017/richdata2" ref="A3:AS32">
      <sortCondition ref="L2:L3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E248-5AB6-449E-9299-BBBEAA70C3FD}">
  <dimension ref="A1:H20"/>
  <sheetViews>
    <sheetView topLeftCell="B1" workbookViewId="0">
      <selection activeCell="E2" sqref="E2:E20"/>
    </sheetView>
  </sheetViews>
  <sheetFormatPr defaultRowHeight="14.5" x14ac:dyDescent="0.35"/>
  <cols>
    <col min="1" max="1" width="50.453125" bestFit="1" customWidth="1"/>
    <col min="2" max="2" width="17.54296875" bestFit="1" customWidth="1"/>
    <col min="3" max="3" width="8.90625" bestFit="1" customWidth="1"/>
    <col min="4" max="4" width="19.08984375" bestFit="1" customWidth="1"/>
    <col min="5" max="5" width="30.26953125" bestFit="1" customWidth="1"/>
    <col min="6" max="6" width="14.08984375" bestFit="1" customWidth="1"/>
    <col min="7" max="7" width="20.81640625" bestFit="1" customWidth="1"/>
  </cols>
  <sheetData>
    <row r="1" spans="1:8" x14ac:dyDescent="0.35">
      <c r="A1" s="1" t="s">
        <v>11</v>
      </c>
      <c r="B1" s="1" t="s">
        <v>80</v>
      </c>
      <c r="C1" s="1" t="s">
        <v>12</v>
      </c>
      <c r="D1" s="1" t="s">
        <v>154</v>
      </c>
      <c r="E1" s="1" t="s">
        <v>17</v>
      </c>
      <c r="F1" s="1" t="s">
        <v>96</v>
      </c>
      <c r="G1" s="1" t="s">
        <v>97</v>
      </c>
    </row>
    <row r="2" spans="1:8" x14ac:dyDescent="0.35">
      <c r="A2" t="s">
        <v>81</v>
      </c>
      <c r="B2" t="s">
        <v>82</v>
      </c>
      <c r="C2" t="s">
        <v>83</v>
      </c>
      <c r="D2" t="s">
        <v>155</v>
      </c>
      <c r="E2" t="s">
        <v>84</v>
      </c>
      <c r="F2" t="s">
        <v>98</v>
      </c>
      <c r="G2" t="s">
        <v>99</v>
      </c>
      <c r="H2" t="str">
        <f>VLOOKUP(D2,[1]Sheet1!$N:$N,1,)</f>
        <v>9BGEB48A0RG267370</v>
      </c>
    </row>
    <row r="3" spans="1:8" x14ac:dyDescent="0.35">
      <c r="A3" t="s">
        <v>85</v>
      </c>
      <c r="B3" t="s">
        <v>86</v>
      </c>
      <c r="C3" t="s">
        <v>87</v>
      </c>
      <c r="D3" t="s">
        <v>156</v>
      </c>
      <c r="E3" t="s">
        <v>88</v>
      </c>
      <c r="F3" t="s">
        <v>100</v>
      </c>
      <c r="G3" t="s">
        <v>99</v>
      </c>
      <c r="H3" t="str">
        <f>VLOOKUP(D3,[1]Sheet1!$N:$N,1,)</f>
        <v>9BGEN76H0RB222916</v>
      </c>
    </row>
    <row r="4" spans="1:8" x14ac:dyDescent="0.35">
      <c r="A4" t="s">
        <v>89</v>
      </c>
      <c r="B4" t="s">
        <v>90</v>
      </c>
      <c r="C4" t="s">
        <v>91</v>
      </c>
      <c r="D4" t="s">
        <v>157</v>
      </c>
      <c r="E4" t="s">
        <v>84</v>
      </c>
      <c r="F4" t="s">
        <v>101</v>
      </c>
      <c r="G4" t="s">
        <v>99</v>
      </c>
      <c r="H4" t="str">
        <f>VLOOKUP(D4,[1]Sheet1!$N:$N,1,)</f>
        <v>9BGEB48A0SG220429</v>
      </c>
    </row>
    <row r="5" spans="1:8" x14ac:dyDescent="0.35">
      <c r="A5" t="s">
        <v>92</v>
      </c>
      <c r="B5" t="s">
        <v>93</v>
      </c>
      <c r="C5" t="s">
        <v>94</v>
      </c>
      <c r="D5" t="s">
        <v>158</v>
      </c>
      <c r="E5" t="s">
        <v>95</v>
      </c>
      <c r="F5" t="s">
        <v>101</v>
      </c>
      <c r="G5" t="s">
        <v>99</v>
      </c>
      <c r="H5" t="str">
        <f>VLOOKUP(D5,[1]Sheet1!$N:$N,1,)</f>
        <v>9BGEA43B0SB210435</v>
      </c>
    </row>
    <row r="6" spans="1:8" x14ac:dyDescent="0.35">
      <c r="A6" t="s">
        <v>102</v>
      </c>
      <c r="B6" t="s">
        <v>103</v>
      </c>
      <c r="C6" t="s">
        <v>104</v>
      </c>
      <c r="D6" t="s">
        <v>159</v>
      </c>
      <c r="E6" t="s">
        <v>84</v>
      </c>
      <c r="F6" t="s">
        <v>105</v>
      </c>
      <c r="G6" t="s">
        <v>99</v>
      </c>
      <c r="H6" t="str">
        <f>VLOOKUP(D6,[1]Sheet1!$N:$N,1,)</f>
        <v>9BGEB48A0SG238094</v>
      </c>
    </row>
    <row r="7" spans="1:8" x14ac:dyDescent="0.35">
      <c r="A7" t="s">
        <v>106</v>
      </c>
      <c r="B7" t="s">
        <v>107</v>
      </c>
      <c r="C7" t="s">
        <v>108</v>
      </c>
      <c r="D7" t="s">
        <v>160</v>
      </c>
      <c r="E7" t="s">
        <v>109</v>
      </c>
      <c r="F7" t="s">
        <v>112</v>
      </c>
      <c r="G7" t="s">
        <v>99</v>
      </c>
      <c r="H7" t="str">
        <f>VLOOKUP(D7,[1]Sheet1!$N:$N,1,)</f>
        <v>9BGEP76T0SB229883</v>
      </c>
    </row>
    <row r="8" spans="1:8" x14ac:dyDescent="0.35">
      <c r="A8" t="s">
        <v>77</v>
      </c>
      <c r="B8" t="s">
        <v>76</v>
      </c>
      <c r="C8" t="s">
        <v>110</v>
      </c>
      <c r="D8" t="s">
        <v>161</v>
      </c>
      <c r="E8" t="s">
        <v>111</v>
      </c>
      <c r="F8" t="s">
        <v>113</v>
      </c>
      <c r="G8" t="s">
        <v>99</v>
      </c>
      <c r="H8" t="str">
        <f>VLOOKUP(D8,[1]Sheet1!$N:$N,1,)</f>
        <v>9BGEB69A0SG247005</v>
      </c>
    </row>
    <row r="9" spans="1:8" x14ac:dyDescent="0.35">
      <c r="A9" t="s">
        <v>114</v>
      </c>
      <c r="B9" t="s">
        <v>115</v>
      </c>
      <c r="C9" t="s">
        <v>116</v>
      </c>
      <c r="D9" t="s">
        <v>162</v>
      </c>
      <c r="E9" t="s">
        <v>117</v>
      </c>
      <c r="F9" t="s">
        <v>118</v>
      </c>
      <c r="G9" t="s">
        <v>99</v>
      </c>
      <c r="H9" t="str">
        <f>VLOOKUP(D9,[1]Sheet1!$N:$N,1,)</f>
        <v>8AGEP76T0SR122858</v>
      </c>
    </row>
    <row r="10" spans="1:8" x14ac:dyDescent="0.35">
      <c r="A10" t="s">
        <v>119</v>
      </c>
      <c r="B10" t="s">
        <v>120</v>
      </c>
      <c r="C10" t="s">
        <v>121</v>
      </c>
      <c r="D10" t="s">
        <v>163</v>
      </c>
      <c r="E10" t="s">
        <v>111</v>
      </c>
      <c r="F10" t="s">
        <v>118</v>
      </c>
      <c r="G10" t="s">
        <v>99</v>
      </c>
      <c r="H10" t="str">
        <f>VLOOKUP(D10,[1]Sheet1!$N:$N,1,)</f>
        <v>9BGEB69A0SG247022</v>
      </c>
    </row>
    <row r="11" spans="1:8" x14ac:dyDescent="0.35">
      <c r="A11" t="s">
        <v>119</v>
      </c>
      <c r="B11" t="s">
        <v>120</v>
      </c>
      <c r="C11" t="s">
        <v>122</v>
      </c>
      <c r="D11" t="s">
        <v>164</v>
      </c>
      <c r="E11" t="s">
        <v>111</v>
      </c>
      <c r="F11" t="s">
        <v>118</v>
      </c>
      <c r="G11" t="s">
        <v>99</v>
      </c>
      <c r="H11" t="str">
        <f>VLOOKUP(D11,[1]Sheet1!$N:$N,1,)</f>
        <v>9BGEB69A0SG255489</v>
      </c>
    </row>
    <row r="12" spans="1:8" x14ac:dyDescent="0.35">
      <c r="A12" t="s">
        <v>123</v>
      </c>
      <c r="B12" t="s">
        <v>124</v>
      </c>
      <c r="C12" t="s">
        <v>125</v>
      </c>
      <c r="D12" t="s">
        <v>165</v>
      </c>
      <c r="E12" t="s">
        <v>117</v>
      </c>
      <c r="F12" t="s">
        <v>140</v>
      </c>
      <c r="G12" t="s">
        <v>99</v>
      </c>
      <c r="H12" t="str">
        <f>VLOOKUP(D12,[1]Sheet1!$N:$N,1,)</f>
        <v>8AGEP76T0SR122994</v>
      </c>
    </row>
    <row r="13" spans="1:8" x14ac:dyDescent="0.35">
      <c r="A13" t="s">
        <v>126</v>
      </c>
      <c r="B13" t="s">
        <v>127</v>
      </c>
      <c r="C13" t="s">
        <v>128</v>
      </c>
      <c r="D13" t="s">
        <v>166</v>
      </c>
      <c r="E13" t="s">
        <v>117</v>
      </c>
      <c r="F13" t="s">
        <v>112</v>
      </c>
      <c r="G13" t="s">
        <v>99</v>
      </c>
      <c r="H13" t="str">
        <f>VLOOKUP(D13,[1]Sheet1!$N:$N,1,)</f>
        <v>8AGEP76T0SR126031</v>
      </c>
    </row>
    <row r="14" spans="1:8" x14ac:dyDescent="0.35">
      <c r="A14" t="s">
        <v>129</v>
      </c>
      <c r="B14" t="s">
        <v>130</v>
      </c>
      <c r="C14" t="s">
        <v>131</v>
      </c>
      <c r="D14" t="s">
        <v>167</v>
      </c>
      <c r="E14" t="s">
        <v>132</v>
      </c>
      <c r="F14" t="s">
        <v>141</v>
      </c>
      <c r="G14" t="s">
        <v>99</v>
      </c>
      <c r="H14" t="str">
        <f>VLOOKUP(D14,[1]Sheet1!$N:$N,1,)</f>
        <v>9BGEA48A0TG119795</v>
      </c>
    </row>
    <row r="15" spans="1:8" x14ac:dyDescent="0.35">
      <c r="A15" t="s">
        <v>129</v>
      </c>
      <c r="B15" t="s">
        <v>130</v>
      </c>
      <c r="C15" t="s">
        <v>133</v>
      </c>
      <c r="D15" t="s">
        <v>168</v>
      </c>
      <c r="E15" t="s">
        <v>132</v>
      </c>
      <c r="F15" t="s">
        <v>112</v>
      </c>
      <c r="G15" t="s">
        <v>99</v>
      </c>
      <c r="H15" t="str">
        <f>VLOOKUP(D15,[1]Sheet1!$N:$N,1,)</f>
        <v>9BGEA48A0TG119896</v>
      </c>
    </row>
    <row r="16" spans="1:8" x14ac:dyDescent="0.35">
      <c r="A16" t="s">
        <v>129</v>
      </c>
      <c r="B16" t="s">
        <v>130</v>
      </c>
      <c r="C16" t="s">
        <v>134</v>
      </c>
      <c r="D16" t="s">
        <v>169</v>
      </c>
      <c r="E16" t="s">
        <v>132</v>
      </c>
      <c r="F16" t="s">
        <v>141</v>
      </c>
      <c r="G16" t="s">
        <v>99</v>
      </c>
      <c r="H16" t="str">
        <f>VLOOKUP(D16,[1]Sheet1!$N:$N,1,)</f>
        <v>9BGEA48A0TG120211</v>
      </c>
    </row>
    <row r="17" spans="1:8" x14ac:dyDescent="0.35">
      <c r="A17" t="s">
        <v>129</v>
      </c>
      <c r="B17" t="s">
        <v>130</v>
      </c>
      <c r="C17" t="s">
        <v>135</v>
      </c>
      <c r="D17" t="s">
        <v>170</v>
      </c>
      <c r="E17" t="s">
        <v>132</v>
      </c>
      <c r="F17" t="s">
        <v>112</v>
      </c>
      <c r="G17" t="s">
        <v>99</v>
      </c>
      <c r="H17" t="str">
        <f>VLOOKUP(D17,[1]Sheet1!$N:$N,1,)</f>
        <v>9BGEA48A0TG120235</v>
      </c>
    </row>
    <row r="18" spans="1:8" x14ac:dyDescent="0.35">
      <c r="A18" t="s">
        <v>129</v>
      </c>
      <c r="B18" t="s">
        <v>130</v>
      </c>
      <c r="C18" t="s">
        <v>136</v>
      </c>
      <c r="D18" t="s">
        <v>171</v>
      </c>
      <c r="E18" t="s">
        <v>132</v>
      </c>
      <c r="F18" t="s">
        <v>141</v>
      </c>
      <c r="G18" t="s">
        <v>99</v>
      </c>
      <c r="H18" t="str">
        <f>VLOOKUP(D18,[1]Sheet1!$N:$N,1,)</f>
        <v>9BGEA48A0TG120910</v>
      </c>
    </row>
    <row r="19" spans="1:8" x14ac:dyDescent="0.35">
      <c r="A19" t="s">
        <v>129</v>
      </c>
      <c r="B19" t="s">
        <v>130</v>
      </c>
      <c r="C19" t="s">
        <v>137</v>
      </c>
      <c r="D19" t="s">
        <v>172</v>
      </c>
      <c r="E19" t="s">
        <v>132</v>
      </c>
      <c r="F19" t="s">
        <v>140</v>
      </c>
      <c r="G19" t="s">
        <v>99</v>
      </c>
      <c r="H19" t="str">
        <f>VLOOKUP(D19,[1]Sheet1!$N:$N,1,)</f>
        <v>9BGEA48A0TG120921</v>
      </c>
    </row>
    <row r="20" spans="1:8" x14ac:dyDescent="0.35">
      <c r="A20" t="s">
        <v>129</v>
      </c>
      <c r="B20" t="s">
        <v>130</v>
      </c>
      <c r="C20" t="s">
        <v>138</v>
      </c>
      <c r="D20" t="s">
        <v>173</v>
      </c>
      <c r="E20" t="s">
        <v>139</v>
      </c>
      <c r="F20" t="s">
        <v>112</v>
      </c>
      <c r="G20" t="s">
        <v>99</v>
      </c>
      <c r="H20" t="str">
        <f>VLOOKUP(D20,[1]Sheet1!$N:$N,1,)</f>
        <v>9BGEA48A0SG221332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veículos não constam no apólice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Caldeira Nunes</dc:creator>
  <cp:lastModifiedBy>Juliana Caldeira Nunes</cp:lastModifiedBy>
  <dcterms:created xsi:type="dcterms:W3CDTF">2026-05-04T10:45:51Z</dcterms:created>
  <dcterms:modified xsi:type="dcterms:W3CDTF">2026-05-12T12:15:39Z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da19b6-bfd0-4436-a443-6172f0377703_Enabled">
    <vt:lpwstr>true</vt:lpwstr>
  </property>
  <property fmtid="{D5CDD505-2E9C-101B-9397-08002B2CF9AE}" pid="3" name="MSIP_Label_dcda19b6-bfd0-4436-a443-6172f0377703_SetDate">
    <vt:lpwstr>2026-05-04T10:44:55Z</vt:lpwstr>
  </property>
  <property fmtid="{D5CDD505-2E9C-101B-9397-08002B2CF9AE}" pid="4" name="MSIP_Label_dcda19b6-bfd0-4436-a443-6172f0377703_Method">
    <vt:lpwstr>Standard</vt:lpwstr>
  </property>
  <property fmtid="{D5CDD505-2E9C-101B-9397-08002B2CF9AE}" pid="5" name="MSIP_Label_dcda19b6-bfd0-4436-a443-6172f0377703_Name">
    <vt:lpwstr>Brazil PI</vt:lpwstr>
  </property>
  <property fmtid="{D5CDD505-2E9C-101B-9397-08002B2CF9AE}" pid="6" name="MSIP_Label_dcda19b6-bfd0-4436-a443-6172f0377703_SiteId">
    <vt:lpwstr>e45cbcc1-1760-419a-a16b-35802285b3b3</vt:lpwstr>
  </property>
  <property fmtid="{D5CDD505-2E9C-101B-9397-08002B2CF9AE}" pid="7" name="MSIP_Label_dcda19b6-bfd0-4436-a443-6172f0377703_ActionId">
    <vt:lpwstr>0f911f19-a6e1-4a0c-bafd-efd30eb7f20d</vt:lpwstr>
  </property>
  <property fmtid="{D5CDD505-2E9C-101B-9397-08002B2CF9AE}" pid="8" name="MSIP_Label_dcda19b6-bfd0-4436-a443-6172f0377703_ContentBits">
    <vt:lpwstr>0</vt:lpwstr>
  </property>
  <property fmtid="{D5CDD505-2E9C-101B-9397-08002B2CF9AE}" pid="9" name="MSIP_Label_dcda19b6-bfd0-4436-a443-6172f0377703_Tag">
    <vt:lpwstr>10, 1, 2, 1</vt:lpwstr>
  </property>
</Properties>
</file>